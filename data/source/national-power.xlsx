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xl/calcChain.xml" ContentType="application/vnd.openxmlformats-officedocument.spreadsheetml.calcChain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学习资料\大学\历史\综合国力\"/>
    </mc:Choice>
  </mc:AlternateContent>
  <xr:revisionPtr revIDLastSave="0" documentId="13_ncr:1_{39E0B1F7-BA5C-4007-BF8F-851C89921AE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综排" sheetId="1" r:id="rId1"/>
    <sheet name="矿产" sheetId="8" r:id="rId2"/>
    <sheet name="能源" sheetId="6" r:id="rId3"/>
    <sheet name="农业" sheetId="5" r:id="rId4"/>
    <sheet name="交通" sheetId="7" r:id="rId5"/>
    <sheet name="稳定" sheetId="10" r:id="rId6"/>
    <sheet name="政治排名" sheetId="4" r:id="rId7"/>
    <sheet name="经济排名" sheetId="2" r:id="rId8"/>
    <sheet name="军事排名" sheetId="3" r:id="rId9"/>
  </sheets>
  <definedNames>
    <definedName name="_xlnm._FilterDatabase" localSheetId="5" hidden="1">稳定!$D$1:$R$52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1" i="5" l="1"/>
  <c r="X12" i="5"/>
  <c r="X42" i="5"/>
  <c r="X25" i="5"/>
  <c r="X46" i="5"/>
  <c r="X7" i="5"/>
  <c r="X8" i="5"/>
  <c r="X43" i="5"/>
  <c r="X4" i="5"/>
  <c r="X39" i="5"/>
  <c r="X37" i="5"/>
  <c r="X35" i="5"/>
  <c r="X6" i="5"/>
  <c r="X17" i="5"/>
  <c r="X22" i="5"/>
  <c r="X36" i="5"/>
  <c r="X2" i="5"/>
  <c r="X13" i="5"/>
  <c r="X18" i="5"/>
  <c r="X33" i="5"/>
  <c r="X50" i="5"/>
  <c r="X28" i="5"/>
  <c r="X32" i="5"/>
  <c r="X45" i="5"/>
  <c r="X16" i="5"/>
  <c r="X26" i="5"/>
  <c r="X44" i="5"/>
  <c r="X9" i="5"/>
  <c r="X40" i="5"/>
  <c r="X47" i="5"/>
  <c r="X14" i="5"/>
  <c r="X31" i="5"/>
  <c r="X23" i="5"/>
  <c r="X24" i="5"/>
  <c r="X5" i="5"/>
  <c r="X34" i="5"/>
  <c r="X52" i="5"/>
  <c r="X21" i="5"/>
  <c r="X41" i="5"/>
  <c r="X20" i="5"/>
  <c r="X38" i="5"/>
  <c r="X49" i="5"/>
  <c r="X48" i="5"/>
  <c r="X19" i="5"/>
  <c r="X51" i="5"/>
  <c r="X15" i="5"/>
  <c r="X10" i="5"/>
  <c r="X30" i="5"/>
  <c r="X3" i="5"/>
  <c r="X29" i="5"/>
  <c r="X27" i="5"/>
  <c r="V11" i="5"/>
  <c r="V12" i="5"/>
  <c r="V42" i="5"/>
  <c r="V25" i="5"/>
  <c r="V46" i="5"/>
  <c r="V7" i="5"/>
  <c r="V8" i="5"/>
  <c r="V43" i="5"/>
  <c r="V4" i="5"/>
  <c r="V39" i="5"/>
  <c r="V37" i="5"/>
  <c r="V35" i="5"/>
  <c r="V6" i="5"/>
  <c r="V17" i="5"/>
  <c r="V22" i="5"/>
  <c r="V36" i="5"/>
  <c r="V2" i="5"/>
  <c r="V13" i="5"/>
  <c r="V18" i="5"/>
  <c r="V33" i="5"/>
  <c r="V50" i="5"/>
  <c r="V28" i="5"/>
  <c r="V32" i="5"/>
  <c r="V45" i="5"/>
  <c r="V16" i="5"/>
  <c r="V26" i="5"/>
  <c r="V44" i="5"/>
  <c r="V9" i="5"/>
  <c r="V40" i="5"/>
  <c r="V47" i="5"/>
  <c r="V14" i="5"/>
  <c r="V31" i="5"/>
  <c r="V23" i="5"/>
  <c r="V24" i="5"/>
  <c r="V5" i="5"/>
  <c r="V34" i="5"/>
  <c r="V52" i="5"/>
  <c r="V21" i="5"/>
  <c r="V41" i="5"/>
  <c r="V20" i="5"/>
  <c r="V38" i="5"/>
  <c r="V49" i="5"/>
  <c r="V48" i="5"/>
  <c r="V19" i="5"/>
  <c r="V51" i="5"/>
  <c r="V15" i="5"/>
  <c r="V10" i="5"/>
  <c r="V30" i="5"/>
  <c r="V3" i="5"/>
  <c r="V29" i="5"/>
  <c r="V27" i="5"/>
  <c r="T11" i="5"/>
  <c r="T12" i="5"/>
  <c r="T42" i="5"/>
  <c r="T25" i="5"/>
  <c r="T46" i="5"/>
  <c r="T7" i="5"/>
  <c r="T8" i="5"/>
  <c r="T43" i="5"/>
  <c r="T4" i="5"/>
  <c r="T39" i="5"/>
  <c r="T37" i="5"/>
  <c r="T35" i="5"/>
  <c r="T6" i="5"/>
  <c r="T17" i="5"/>
  <c r="T22" i="5"/>
  <c r="T36" i="5"/>
  <c r="T2" i="5"/>
  <c r="T13" i="5"/>
  <c r="T18" i="5"/>
  <c r="T33" i="5"/>
  <c r="T50" i="5"/>
  <c r="T28" i="5"/>
  <c r="T32" i="5"/>
  <c r="T45" i="5"/>
  <c r="T16" i="5"/>
  <c r="T26" i="5"/>
  <c r="T44" i="5"/>
  <c r="T9" i="5"/>
  <c r="T40" i="5"/>
  <c r="T47" i="5"/>
  <c r="T14" i="5"/>
  <c r="T31" i="5"/>
  <c r="T23" i="5"/>
  <c r="T24" i="5"/>
  <c r="T5" i="5"/>
  <c r="T34" i="5"/>
  <c r="T52" i="5"/>
  <c r="T21" i="5"/>
  <c r="T41" i="5"/>
  <c r="T20" i="5"/>
  <c r="T38" i="5"/>
  <c r="T49" i="5"/>
  <c r="T48" i="5"/>
  <c r="T19" i="5"/>
  <c r="T51" i="5"/>
  <c r="T15" i="5"/>
  <c r="T10" i="5"/>
  <c r="T30" i="5"/>
  <c r="T3" i="5"/>
  <c r="T29" i="5"/>
  <c r="T27" i="5"/>
  <c r="O4" i="1"/>
  <c r="N4" i="1"/>
  <c r="M4" i="1"/>
  <c r="J6" i="5"/>
  <c r="N2" i="6"/>
  <c r="M2" i="6"/>
  <c r="L2" i="6"/>
  <c r="H2" i="6"/>
  <c r="G2" i="6"/>
  <c r="M3" i="6"/>
  <c r="M4" i="6"/>
  <c r="M17" i="6"/>
  <c r="M5" i="6"/>
  <c r="M6" i="6"/>
  <c r="M7" i="6"/>
  <c r="H6" i="5"/>
  <c r="D6" i="5"/>
  <c r="F6" i="5"/>
  <c r="D2" i="6"/>
  <c r="L6" i="5"/>
  <c r="N11" i="10"/>
  <c r="T18" i="7"/>
  <c r="G18" i="7"/>
  <c r="P18" i="7"/>
  <c r="M18" i="7"/>
  <c r="K11" i="10"/>
  <c r="J18" i="7"/>
  <c r="C3" i="4"/>
  <c r="B3" i="4" s="1"/>
  <c r="Z4" i="3"/>
  <c r="C2" i="2"/>
  <c r="R2" i="2"/>
  <c r="Q2" i="2"/>
  <c r="C3" i="2"/>
  <c r="C5" i="2"/>
  <c r="C6" i="2"/>
  <c r="C7" i="2"/>
  <c r="C8" i="2"/>
  <c r="C9" i="2"/>
  <c r="C10" i="2"/>
  <c r="C12" i="2"/>
  <c r="C11" i="2"/>
  <c r="C15" i="2"/>
  <c r="C13" i="2"/>
  <c r="C14" i="2"/>
  <c r="C17" i="2"/>
  <c r="C16" i="2"/>
  <c r="C19" i="2"/>
  <c r="C18" i="2"/>
  <c r="C22" i="2"/>
  <c r="C20" i="2"/>
  <c r="C21" i="2"/>
  <c r="C23" i="2"/>
  <c r="C24" i="2"/>
  <c r="C25" i="2"/>
  <c r="C26" i="2"/>
  <c r="C28" i="2"/>
  <c r="C30" i="2"/>
  <c r="C31" i="2"/>
  <c r="C29" i="2"/>
  <c r="C27" i="2"/>
  <c r="C32" i="2"/>
  <c r="C36" i="2"/>
  <c r="C41" i="2"/>
  <c r="C33" i="2"/>
  <c r="C39" i="2"/>
  <c r="C34" i="2"/>
  <c r="C43" i="2"/>
  <c r="C42" i="2"/>
  <c r="C37" i="2"/>
  <c r="C38" i="2"/>
  <c r="C35" i="2"/>
  <c r="C40" i="2"/>
  <c r="C44" i="2"/>
  <c r="C47" i="2"/>
  <c r="C46" i="2"/>
  <c r="C45" i="2"/>
  <c r="C49" i="2"/>
  <c r="C48" i="2"/>
  <c r="C51" i="2"/>
  <c r="C50" i="2"/>
  <c r="C4" i="2"/>
  <c r="I4" i="2"/>
  <c r="I6" i="2"/>
  <c r="I7" i="2"/>
  <c r="I5" i="2"/>
  <c r="I8" i="2"/>
  <c r="I9" i="2"/>
  <c r="I11" i="2"/>
  <c r="I10" i="2"/>
  <c r="I16" i="2"/>
  <c r="I19" i="2"/>
  <c r="I17" i="2"/>
  <c r="I13" i="2"/>
  <c r="I12" i="2"/>
  <c r="I21" i="2"/>
  <c r="I15" i="2"/>
  <c r="I35" i="2"/>
  <c r="I14" i="2"/>
  <c r="I18" i="2"/>
  <c r="I20" i="2"/>
  <c r="I33" i="2"/>
  <c r="I27" i="2"/>
  <c r="I40" i="2"/>
  <c r="I28" i="2"/>
  <c r="I24" i="2"/>
  <c r="I44" i="2"/>
  <c r="I32" i="2"/>
  <c r="I47" i="2"/>
  <c r="I23" i="2"/>
  <c r="I38" i="2"/>
  <c r="I37" i="2"/>
  <c r="I46" i="2"/>
  <c r="I41" i="2"/>
  <c r="I26" i="2"/>
  <c r="I45" i="2"/>
  <c r="I36" i="2"/>
  <c r="I22" i="2"/>
  <c r="I39" i="2"/>
  <c r="I25" i="2"/>
  <c r="I34" i="2"/>
  <c r="I31" i="2"/>
  <c r="I49" i="2"/>
  <c r="I29" i="2"/>
  <c r="I30" i="2"/>
  <c r="I48" i="2"/>
  <c r="I43" i="2"/>
  <c r="I42" i="2"/>
  <c r="I51" i="2"/>
  <c r="I50" i="2"/>
  <c r="I3" i="2"/>
  <c r="G3" i="2"/>
  <c r="G5" i="2"/>
  <c r="G6" i="2"/>
  <c r="G7" i="2"/>
  <c r="G8" i="2"/>
  <c r="G9" i="2"/>
  <c r="G10" i="2"/>
  <c r="G12" i="2"/>
  <c r="G11" i="2"/>
  <c r="G15" i="2"/>
  <c r="G13" i="2"/>
  <c r="G14" i="2"/>
  <c r="G17" i="2"/>
  <c r="G16" i="2"/>
  <c r="G19" i="2"/>
  <c r="G18" i="2"/>
  <c r="G22" i="2"/>
  <c r="G20" i="2"/>
  <c r="G21" i="2"/>
  <c r="G23" i="2"/>
  <c r="G24" i="2"/>
  <c r="G25" i="2"/>
  <c r="G26" i="2"/>
  <c r="G28" i="2"/>
  <c r="G30" i="2"/>
  <c r="G31" i="2"/>
  <c r="G29" i="2"/>
  <c r="G27" i="2"/>
  <c r="G32" i="2"/>
  <c r="G36" i="2"/>
  <c r="G41" i="2"/>
  <c r="G33" i="2"/>
  <c r="G39" i="2"/>
  <c r="G34" i="2"/>
  <c r="G43" i="2"/>
  <c r="G42" i="2"/>
  <c r="G37" i="2"/>
  <c r="G38" i="2"/>
  <c r="G35" i="2"/>
  <c r="G40" i="2"/>
  <c r="G45" i="2"/>
  <c r="G51" i="2"/>
  <c r="G44" i="2"/>
  <c r="G46" i="2"/>
  <c r="G47" i="2"/>
  <c r="G49" i="2"/>
  <c r="G48" i="2"/>
  <c r="G50" i="2"/>
  <c r="G4" i="2"/>
  <c r="E3" i="2"/>
  <c r="E5" i="2"/>
  <c r="E6" i="2"/>
  <c r="E7" i="2"/>
  <c r="E8" i="2"/>
  <c r="E9" i="2"/>
  <c r="E10" i="2"/>
  <c r="E12" i="2"/>
  <c r="E11" i="2"/>
  <c r="E15" i="2"/>
  <c r="E13" i="2"/>
  <c r="E14" i="2"/>
  <c r="E17" i="2"/>
  <c r="E16" i="2"/>
  <c r="E19" i="2"/>
  <c r="E18" i="2"/>
  <c r="E22" i="2"/>
  <c r="E20" i="2"/>
  <c r="E21" i="2"/>
  <c r="E23" i="2"/>
  <c r="E24" i="2"/>
  <c r="E25" i="2"/>
  <c r="E26" i="2"/>
  <c r="E28" i="2"/>
  <c r="E30" i="2"/>
  <c r="E31" i="2"/>
  <c r="E29" i="2"/>
  <c r="E27" i="2"/>
  <c r="E32" i="2"/>
  <c r="E36" i="2"/>
  <c r="E41" i="2"/>
  <c r="E33" i="2"/>
  <c r="E39" i="2"/>
  <c r="E34" i="2"/>
  <c r="E43" i="2"/>
  <c r="E42" i="2"/>
  <c r="E37" i="2"/>
  <c r="E38" i="2"/>
  <c r="E35" i="2"/>
  <c r="E40" i="2"/>
  <c r="E45" i="2"/>
  <c r="E51" i="2"/>
  <c r="E44" i="2"/>
  <c r="E46" i="2"/>
  <c r="E47" i="2"/>
  <c r="E49" i="2"/>
  <c r="E48" i="2"/>
  <c r="E50" i="2"/>
  <c r="E4" i="2"/>
  <c r="Z3" i="3"/>
  <c r="Z5" i="3"/>
  <c r="Z6" i="3"/>
  <c r="Z7" i="3"/>
  <c r="Z8" i="3"/>
  <c r="Z9" i="3"/>
  <c r="Z10" i="3"/>
  <c r="Z11" i="3"/>
  <c r="Z12" i="3"/>
  <c r="Z13" i="3"/>
  <c r="Z14" i="3"/>
  <c r="Z16" i="3"/>
  <c r="Z15" i="3"/>
  <c r="Z23" i="3"/>
  <c r="Z17" i="3"/>
  <c r="Z19" i="3"/>
  <c r="Z21" i="3"/>
  <c r="Z24" i="3"/>
  <c r="Z20" i="3"/>
  <c r="Z18" i="3"/>
  <c r="Z26" i="3"/>
  <c r="Z22" i="3"/>
  <c r="Z30" i="3"/>
  <c r="Z27" i="3"/>
  <c r="Z25" i="3"/>
  <c r="Z31" i="3"/>
  <c r="Z28" i="3"/>
  <c r="Z34" i="3"/>
  <c r="Z29" i="3"/>
  <c r="Z32" i="3"/>
  <c r="Z33" i="3"/>
  <c r="Z36" i="3"/>
  <c r="Z35" i="3"/>
  <c r="Z40" i="3"/>
  <c r="Z38" i="3"/>
  <c r="Z41" i="3"/>
  <c r="Z37" i="3"/>
  <c r="Z39" i="3"/>
  <c r="Z42" i="3"/>
  <c r="Z45" i="3"/>
  <c r="Z50" i="3"/>
  <c r="Z51" i="3"/>
  <c r="Z46" i="3"/>
  <c r="Z48" i="3"/>
  <c r="Z44" i="3"/>
  <c r="Z47" i="3"/>
  <c r="Z49" i="3"/>
  <c r="Z43" i="3"/>
  <c r="Z52" i="3"/>
  <c r="Z2" i="3"/>
  <c r="D8" i="6"/>
  <c r="D26" i="6"/>
  <c r="D32" i="6"/>
  <c r="D34" i="6"/>
  <c r="D18" i="6"/>
  <c r="D15" i="6"/>
  <c r="D31" i="6"/>
  <c r="D4" i="6"/>
  <c r="D17" i="6"/>
  <c r="D51" i="6"/>
  <c r="D28" i="6"/>
  <c r="D24" i="6"/>
  <c r="D33" i="6"/>
  <c r="D29" i="6"/>
  <c r="D23" i="6"/>
  <c r="D48" i="6"/>
  <c r="D43" i="6"/>
  <c r="D37" i="6"/>
  <c r="D44" i="6"/>
  <c r="D45" i="6"/>
  <c r="D30" i="6"/>
  <c r="D12" i="6"/>
  <c r="D27" i="6"/>
  <c r="D50" i="6"/>
  <c r="D13" i="6"/>
  <c r="D16" i="6"/>
  <c r="D14" i="6"/>
  <c r="D9" i="6"/>
  <c r="D46" i="6"/>
  <c r="D39" i="6"/>
  <c r="D7" i="6"/>
  <c r="D11" i="6"/>
  <c r="D22" i="6"/>
  <c r="D35" i="6"/>
  <c r="D38" i="6"/>
  <c r="D47" i="6"/>
  <c r="D20" i="6"/>
  <c r="D19" i="6"/>
  <c r="D40" i="6"/>
  <c r="D36" i="6"/>
  <c r="D41" i="6"/>
  <c r="D21" i="6"/>
  <c r="D52" i="6"/>
  <c r="D5" i="6"/>
  <c r="D49" i="6"/>
  <c r="D10" i="6"/>
  <c r="D42" i="6"/>
  <c r="D6" i="6"/>
  <c r="D3" i="6"/>
  <c r="D25" i="6"/>
  <c r="O3" i="1"/>
  <c r="O5" i="1"/>
  <c r="O11" i="1"/>
  <c r="O6" i="1"/>
  <c r="O8" i="1"/>
  <c r="O9" i="1"/>
  <c r="O7" i="1"/>
  <c r="O12" i="1"/>
  <c r="O10" i="1"/>
  <c r="O15" i="1"/>
  <c r="O14" i="1"/>
  <c r="O16" i="1"/>
  <c r="O13" i="1"/>
  <c r="O17" i="1"/>
  <c r="O24" i="1"/>
  <c r="O18" i="1"/>
  <c r="O21" i="1"/>
  <c r="O23" i="1"/>
  <c r="O19" i="1"/>
  <c r="O25" i="1"/>
  <c r="O27" i="1"/>
  <c r="O20" i="1"/>
  <c r="O22" i="1"/>
  <c r="O26" i="1"/>
  <c r="O28" i="1"/>
  <c r="O40" i="1"/>
  <c r="O30" i="1"/>
  <c r="O35" i="1"/>
  <c r="O33" i="1"/>
  <c r="O34" i="1"/>
  <c r="O31" i="1"/>
  <c r="O38" i="1"/>
  <c r="O29" i="1"/>
  <c r="O37" i="1"/>
  <c r="O41" i="1"/>
  <c r="O36" i="1"/>
  <c r="O32" i="1"/>
  <c r="O43" i="1"/>
  <c r="O42" i="1"/>
  <c r="O49" i="1"/>
  <c r="O39" i="1"/>
  <c r="O44" i="1"/>
  <c r="O45" i="1"/>
  <c r="O46" i="1"/>
  <c r="O47" i="1"/>
  <c r="O48" i="1"/>
  <c r="O51" i="1"/>
  <c r="O52" i="1"/>
  <c r="O50" i="1"/>
  <c r="O2" i="1"/>
  <c r="N49" i="10"/>
  <c r="K49" i="10"/>
  <c r="N52" i="10"/>
  <c r="K52" i="10"/>
  <c r="N50" i="10"/>
  <c r="K50" i="10"/>
  <c r="N43" i="10"/>
  <c r="K43" i="10"/>
  <c r="N46" i="10"/>
  <c r="K46" i="10"/>
  <c r="N48" i="10"/>
  <c r="K48" i="10"/>
  <c r="N30" i="10"/>
  <c r="K30" i="10"/>
  <c r="N51" i="10"/>
  <c r="K51" i="10"/>
  <c r="N39" i="10"/>
  <c r="K39" i="10"/>
  <c r="N38" i="10"/>
  <c r="K38" i="10"/>
  <c r="N28" i="10"/>
  <c r="K28" i="10"/>
  <c r="N47" i="10"/>
  <c r="K47" i="10"/>
  <c r="N41" i="10"/>
  <c r="K41" i="10"/>
  <c r="N44" i="10"/>
  <c r="K44" i="10"/>
  <c r="N34" i="10"/>
  <c r="K34" i="10"/>
  <c r="N21" i="10"/>
  <c r="K21" i="10"/>
  <c r="N37" i="10"/>
  <c r="K37" i="10"/>
  <c r="N27" i="10"/>
  <c r="K27" i="10"/>
  <c r="N12" i="10"/>
  <c r="K12" i="10"/>
  <c r="N33" i="10"/>
  <c r="K33" i="10"/>
  <c r="N5" i="10"/>
  <c r="K5" i="10"/>
  <c r="N32" i="10"/>
  <c r="K32" i="10"/>
  <c r="N16" i="10"/>
  <c r="K16" i="10"/>
  <c r="N17" i="10"/>
  <c r="K17" i="10"/>
  <c r="N6" i="10"/>
  <c r="K6" i="10"/>
  <c r="N31" i="10"/>
  <c r="K31" i="10"/>
  <c r="N15" i="10"/>
  <c r="K15" i="10"/>
  <c r="N35" i="10"/>
  <c r="K35" i="10"/>
  <c r="N13" i="10"/>
  <c r="K13" i="10"/>
  <c r="N20" i="10"/>
  <c r="K20" i="10"/>
  <c r="N36" i="10"/>
  <c r="K36" i="10"/>
  <c r="N45" i="10"/>
  <c r="K45" i="10"/>
  <c r="N42" i="10"/>
  <c r="K42" i="10"/>
  <c r="N40" i="10"/>
  <c r="K40" i="10"/>
  <c r="N4" i="10"/>
  <c r="K4" i="10"/>
  <c r="N22" i="10"/>
  <c r="K22" i="10"/>
  <c r="N29" i="10"/>
  <c r="K29" i="10"/>
  <c r="N19" i="10"/>
  <c r="K19" i="10"/>
  <c r="N25" i="10"/>
  <c r="K25" i="10"/>
  <c r="N18" i="10"/>
  <c r="K18" i="10"/>
  <c r="N2" i="10"/>
  <c r="K2" i="10"/>
  <c r="N3" i="10"/>
  <c r="K3" i="10"/>
  <c r="N26" i="10"/>
  <c r="K26" i="10"/>
  <c r="N14" i="10"/>
  <c r="K14" i="10"/>
  <c r="N24" i="10"/>
  <c r="K24" i="10"/>
  <c r="N7" i="10"/>
  <c r="K7" i="10"/>
  <c r="N23" i="10"/>
  <c r="K23" i="10"/>
  <c r="N9" i="10"/>
  <c r="K9" i="10"/>
  <c r="N10" i="10"/>
  <c r="K10" i="10"/>
  <c r="N8" i="10"/>
  <c r="K8" i="10"/>
  <c r="C52" i="4"/>
  <c r="B52" i="4" s="1"/>
  <c r="C49" i="4"/>
  <c r="B49" i="4" s="1"/>
  <c r="C46" i="4"/>
  <c r="B46" i="4" s="1"/>
  <c r="C31" i="4"/>
  <c r="B31" i="4" s="1"/>
  <c r="C48" i="4"/>
  <c r="B48" i="4" s="1"/>
  <c r="C30" i="4"/>
  <c r="B30" i="4" s="1"/>
  <c r="C45" i="4"/>
  <c r="B45" i="4" s="1"/>
  <c r="C35" i="4"/>
  <c r="B35" i="4" s="1"/>
  <c r="C42" i="4"/>
  <c r="B42" i="4" s="1"/>
  <c r="C39" i="4"/>
  <c r="B39" i="4" s="1"/>
  <c r="C26" i="4"/>
  <c r="B26" i="4" s="1"/>
  <c r="C37" i="4"/>
  <c r="B37" i="4" s="1"/>
  <c r="C10" i="4"/>
  <c r="B10" i="4" s="1"/>
  <c r="C41" i="4"/>
  <c r="B41" i="4" s="1"/>
  <c r="C34" i="4"/>
  <c r="B34" i="4" s="1"/>
  <c r="C50" i="4"/>
  <c r="B50" i="4" s="1"/>
  <c r="C15" i="4"/>
  <c r="B15" i="4" s="1"/>
  <c r="C47" i="4"/>
  <c r="B47" i="4" s="1"/>
  <c r="C40" i="4"/>
  <c r="B40" i="4" s="1"/>
  <c r="C20" i="4"/>
  <c r="B20" i="4" s="1"/>
  <c r="C36" i="4"/>
  <c r="B36" i="4" s="1"/>
  <c r="C18" i="4"/>
  <c r="B18" i="4" s="1"/>
  <c r="C12" i="4"/>
  <c r="B12" i="4" s="1"/>
  <c r="C27" i="4"/>
  <c r="B27" i="4" s="1"/>
  <c r="C9" i="4"/>
  <c r="B9" i="4" s="1"/>
  <c r="C51" i="4"/>
  <c r="B51" i="4" s="1"/>
  <c r="C25" i="4"/>
  <c r="B25" i="4" s="1"/>
  <c r="C22" i="4"/>
  <c r="B22" i="4" s="1"/>
  <c r="C29" i="4"/>
  <c r="B29" i="4" s="1"/>
  <c r="C2" i="4"/>
  <c r="B2" i="4" s="1"/>
  <c r="C16" i="4"/>
  <c r="B16" i="4" s="1"/>
  <c r="C23" i="4"/>
  <c r="B23" i="4" s="1"/>
  <c r="C5" i="4"/>
  <c r="B5" i="4" s="1"/>
  <c r="C28" i="4"/>
  <c r="B28" i="4" s="1"/>
  <c r="C24" i="4"/>
  <c r="B24" i="4" s="1"/>
  <c r="C17" i="4"/>
  <c r="B17" i="4" s="1"/>
  <c r="C4" i="4"/>
  <c r="B4" i="4" s="1"/>
  <c r="C44" i="4"/>
  <c r="B44" i="4" s="1"/>
  <c r="C11" i="4"/>
  <c r="B11" i="4" s="1"/>
  <c r="C7" i="4"/>
  <c r="B7" i="4" s="1"/>
  <c r="C21" i="4"/>
  <c r="B21" i="4" s="1"/>
  <c r="C6" i="4"/>
  <c r="B6" i="4" s="1"/>
  <c r="C43" i="4"/>
  <c r="B43" i="4" s="1"/>
  <c r="C33" i="4"/>
  <c r="B33" i="4" s="1"/>
  <c r="C32" i="4"/>
  <c r="B32" i="4" s="1"/>
  <c r="C14" i="4"/>
  <c r="B14" i="4" s="1"/>
  <c r="C38" i="4"/>
  <c r="B38" i="4" s="1"/>
  <c r="C19" i="4"/>
  <c r="B19" i="4" s="1"/>
  <c r="C8" i="4"/>
  <c r="B8" i="4" s="1"/>
  <c r="C13" i="4"/>
  <c r="B13" i="4" s="1"/>
  <c r="Q3" i="2"/>
  <c r="Q5" i="2"/>
  <c r="Q6" i="2"/>
  <c r="Q7" i="2"/>
  <c r="Q8" i="2"/>
  <c r="Q9" i="2"/>
  <c r="Q10" i="2"/>
  <c r="Q12" i="2"/>
  <c r="Q11" i="2"/>
  <c r="Q15" i="2"/>
  <c r="Q13" i="2"/>
  <c r="Q14" i="2"/>
  <c r="Q17" i="2"/>
  <c r="Q16" i="2"/>
  <c r="Q19" i="2"/>
  <c r="Q18" i="2"/>
  <c r="Q22" i="2"/>
  <c r="Q20" i="2"/>
  <c r="Q21" i="2"/>
  <c r="Q23" i="2"/>
  <c r="Q24" i="2"/>
  <c r="Q25" i="2"/>
  <c r="Q26" i="2"/>
  <c r="Q28" i="2"/>
  <c r="Q30" i="2"/>
  <c r="Q31" i="2"/>
  <c r="Q29" i="2"/>
  <c r="Q27" i="2"/>
  <c r="Q32" i="2"/>
  <c r="Q36" i="2"/>
  <c r="Q41" i="2"/>
  <c r="Q33" i="2"/>
  <c r="Q39" i="2"/>
  <c r="Q34" i="2"/>
  <c r="Q43" i="2"/>
  <c r="Q42" i="2"/>
  <c r="Q37" i="2"/>
  <c r="Q38" i="2"/>
  <c r="Q35" i="2"/>
  <c r="Q45" i="2"/>
  <c r="Q46" i="2"/>
  <c r="Q47" i="2"/>
  <c r="Q49" i="2"/>
  <c r="Q50" i="2"/>
  <c r="Q40" i="2"/>
  <c r="Q44" i="2"/>
  <c r="Q48" i="2"/>
  <c r="Q51" i="2"/>
  <c r="Q4" i="2"/>
  <c r="N52" i="1"/>
  <c r="N26" i="1"/>
  <c r="N33" i="1"/>
  <c r="N48" i="1"/>
  <c r="N47" i="1"/>
  <c r="N10" i="1"/>
  <c r="N35" i="1"/>
  <c r="N41" i="1"/>
  <c r="N50" i="1"/>
  <c r="N45" i="1"/>
  <c r="N34" i="1"/>
  <c r="N51" i="1"/>
  <c r="N15" i="1"/>
  <c r="N30" i="1"/>
  <c r="N46" i="1"/>
  <c r="N44" i="1"/>
  <c r="N19" i="1"/>
  <c r="N16" i="1"/>
  <c r="N21" i="1"/>
  <c r="N20" i="1"/>
  <c r="N29" i="1"/>
  <c r="N42" i="1"/>
  <c r="N37" i="1"/>
  <c r="N23" i="1"/>
  <c r="N22" i="1"/>
  <c r="N39" i="1"/>
  <c r="N40" i="1"/>
  <c r="N17" i="1"/>
  <c r="N25" i="1"/>
  <c r="N32" i="1"/>
  <c r="N28" i="1"/>
  <c r="N6" i="1"/>
  <c r="N7" i="1"/>
  <c r="N9" i="1"/>
  <c r="N18" i="1"/>
  <c r="N31" i="1"/>
  <c r="N38" i="1"/>
  <c r="N43" i="1"/>
  <c r="N36" i="1"/>
  <c r="N3" i="1"/>
  <c r="N8" i="1"/>
  <c r="N24" i="1"/>
  <c r="N27" i="1"/>
  <c r="N14" i="1"/>
  <c r="N13" i="1"/>
  <c r="N5" i="1"/>
  <c r="N2" i="1"/>
  <c r="N12" i="1"/>
  <c r="N11" i="1"/>
  <c r="N49" i="1"/>
  <c r="M9" i="1"/>
  <c r="M16" i="1"/>
  <c r="M15" i="1"/>
  <c r="M25" i="1"/>
  <c r="M21" i="1"/>
  <c r="M26" i="1"/>
  <c r="M20" i="1"/>
  <c r="M18" i="1"/>
  <c r="M23" i="1"/>
  <c r="M22" i="1"/>
  <c r="M24" i="1"/>
  <c r="M31" i="1"/>
  <c r="M33" i="1"/>
  <c r="M48" i="1"/>
  <c r="M32" i="1"/>
  <c r="M29" i="1"/>
  <c r="M42" i="1"/>
  <c r="M47" i="1"/>
  <c r="M38" i="1"/>
  <c r="M35" i="1"/>
  <c r="M30" i="1"/>
  <c r="M27" i="1"/>
  <c r="M46" i="1"/>
  <c r="M41" i="1"/>
  <c r="M50" i="1"/>
  <c r="M43" i="1"/>
  <c r="M28" i="1"/>
  <c r="M45" i="1"/>
  <c r="M44" i="1"/>
  <c r="M36" i="1"/>
  <c r="M37" i="1"/>
  <c r="M52" i="1"/>
  <c r="M34" i="1"/>
  <c r="M51" i="1"/>
  <c r="M49" i="1"/>
  <c r="M39" i="1"/>
  <c r="M40" i="1"/>
  <c r="M2" i="1"/>
  <c r="M3" i="1"/>
  <c r="M6" i="1"/>
  <c r="M7" i="1"/>
  <c r="M8" i="1"/>
  <c r="M5" i="1"/>
  <c r="M13" i="1"/>
  <c r="M12" i="1"/>
  <c r="M19" i="1"/>
  <c r="M17" i="1"/>
  <c r="M11" i="1"/>
  <c r="M14" i="1"/>
  <c r="M10" i="1"/>
  <c r="R48" i="2"/>
  <c r="R51" i="2"/>
  <c r="R49" i="2"/>
  <c r="P31" i="7"/>
  <c r="M31" i="7"/>
  <c r="T31" i="7"/>
  <c r="J31" i="7"/>
  <c r="G31" i="7"/>
  <c r="F31" i="7"/>
  <c r="P12" i="7"/>
  <c r="M12" i="7"/>
  <c r="T12" i="7"/>
  <c r="J12" i="7"/>
  <c r="G12" i="7"/>
  <c r="F12" i="7"/>
  <c r="P10" i="7"/>
  <c r="M10" i="7"/>
  <c r="T10" i="7"/>
  <c r="J10" i="7"/>
  <c r="G10" i="7"/>
  <c r="F10" i="7"/>
  <c r="P24" i="7"/>
  <c r="M24" i="7"/>
  <c r="T24" i="7"/>
  <c r="J24" i="7"/>
  <c r="G24" i="7"/>
  <c r="F24" i="7"/>
  <c r="P32" i="7"/>
  <c r="M32" i="7"/>
  <c r="T32" i="7"/>
  <c r="J32" i="7"/>
  <c r="G32" i="7"/>
  <c r="F32" i="7"/>
  <c r="P40" i="7"/>
  <c r="M40" i="7"/>
  <c r="T40" i="7"/>
  <c r="J40" i="7"/>
  <c r="G40" i="7"/>
  <c r="F40" i="7"/>
  <c r="P27" i="7"/>
  <c r="M27" i="7"/>
  <c r="T27" i="7"/>
  <c r="J27" i="7"/>
  <c r="G27" i="7"/>
  <c r="F27" i="7"/>
  <c r="P11" i="7"/>
  <c r="M11" i="7"/>
  <c r="T11" i="7"/>
  <c r="J11" i="7"/>
  <c r="G11" i="7"/>
  <c r="F11" i="7"/>
  <c r="P6" i="7"/>
  <c r="M6" i="7"/>
  <c r="T6" i="7"/>
  <c r="J6" i="7"/>
  <c r="G6" i="7"/>
  <c r="F6" i="7"/>
  <c r="P20" i="7"/>
  <c r="M20" i="7"/>
  <c r="T20" i="7"/>
  <c r="J20" i="7"/>
  <c r="G20" i="7"/>
  <c r="F20" i="7"/>
  <c r="P21" i="7"/>
  <c r="M21" i="7"/>
  <c r="T21" i="7"/>
  <c r="J21" i="7"/>
  <c r="G21" i="7"/>
  <c r="F21" i="7"/>
  <c r="P14" i="7"/>
  <c r="M14" i="7"/>
  <c r="T14" i="7"/>
  <c r="J14" i="7"/>
  <c r="G14" i="7"/>
  <c r="F14" i="7"/>
  <c r="P37" i="7"/>
  <c r="M37" i="7"/>
  <c r="T37" i="7"/>
  <c r="J37" i="7"/>
  <c r="G37" i="7"/>
  <c r="F37" i="7"/>
  <c r="P2" i="7"/>
  <c r="M2" i="7"/>
  <c r="T2" i="7"/>
  <c r="J2" i="7"/>
  <c r="G2" i="7"/>
  <c r="F2" i="7"/>
  <c r="P22" i="7"/>
  <c r="M22" i="7"/>
  <c r="T22" i="7"/>
  <c r="J22" i="7"/>
  <c r="G22" i="7"/>
  <c r="F22" i="7"/>
  <c r="P34" i="7"/>
  <c r="M34" i="7"/>
  <c r="T34" i="7"/>
  <c r="J34" i="7"/>
  <c r="G34" i="7"/>
  <c r="F34" i="7"/>
  <c r="P26" i="7"/>
  <c r="M26" i="7"/>
  <c r="T26" i="7"/>
  <c r="J26" i="7"/>
  <c r="G26" i="7"/>
  <c r="F26" i="7"/>
  <c r="P8" i="7"/>
  <c r="M8" i="7"/>
  <c r="T8" i="7"/>
  <c r="J8" i="7"/>
  <c r="G8" i="7"/>
  <c r="F8" i="7"/>
  <c r="P46" i="7"/>
  <c r="M46" i="7"/>
  <c r="T46" i="7"/>
  <c r="J46" i="7"/>
  <c r="G46" i="7"/>
  <c r="F46" i="7"/>
  <c r="P50" i="7"/>
  <c r="M50" i="7"/>
  <c r="T50" i="7"/>
  <c r="J50" i="7"/>
  <c r="G50" i="7"/>
  <c r="F50" i="7"/>
  <c r="P25" i="7"/>
  <c r="M25" i="7"/>
  <c r="T25" i="7"/>
  <c r="J25" i="7"/>
  <c r="G25" i="7"/>
  <c r="F25" i="7"/>
  <c r="P45" i="7"/>
  <c r="M45" i="7"/>
  <c r="T45" i="7"/>
  <c r="J45" i="7"/>
  <c r="G45" i="7"/>
  <c r="F45" i="7"/>
  <c r="P52" i="7"/>
  <c r="M52" i="7"/>
  <c r="T52" i="7"/>
  <c r="J52" i="7"/>
  <c r="G52" i="7"/>
  <c r="F52" i="7"/>
  <c r="P3" i="7"/>
  <c r="M3" i="7"/>
  <c r="T3" i="7"/>
  <c r="J3" i="7"/>
  <c r="G3" i="7"/>
  <c r="F3" i="7"/>
  <c r="P48" i="7"/>
  <c r="M48" i="7"/>
  <c r="T48" i="7"/>
  <c r="J48" i="7"/>
  <c r="G48" i="7"/>
  <c r="F48" i="7"/>
  <c r="P43" i="7"/>
  <c r="M43" i="7"/>
  <c r="T43" i="7"/>
  <c r="J43" i="7"/>
  <c r="G43" i="7"/>
  <c r="F43" i="7"/>
  <c r="P19" i="7"/>
  <c r="M19" i="7"/>
  <c r="T19" i="7"/>
  <c r="J19" i="7"/>
  <c r="G19" i="7"/>
  <c r="F19" i="7"/>
  <c r="P5" i="7"/>
  <c r="M5" i="7"/>
  <c r="T5" i="7"/>
  <c r="J5" i="7"/>
  <c r="G5" i="7"/>
  <c r="F5" i="7"/>
  <c r="P17" i="7"/>
  <c r="M17" i="7"/>
  <c r="T17" i="7"/>
  <c r="J17" i="7"/>
  <c r="G17" i="7"/>
  <c r="F17" i="7"/>
  <c r="P13" i="7"/>
  <c r="M13" i="7"/>
  <c r="T13" i="7"/>
  <c r="J13" i="7"/>
  <c r="G13" i="7"/>
  <c r="F13" i="7"/>
  <c r="P47" i="7"/>
  <c r="M47" i="7"/>
  <c r="T47" i="7"/>
  <c r="J47" i="7"/>
  <c r="G47" i="7"/>
  <c r="F47" i="7"/>
  <c r="P41" i="7"/>
  <c r="M41" i="7"/>
  <c r="T41" i="7"/>
  <c r="J41" i="7"/>
  <c r="G41" i="7"/>
  <c r="F41" i="7"/>
  <c r="P42" i="7"/>
  <c r="M42" i="7"/>
  <c r="T42" i="7"/>
  <c r="J42" i="7"/>
  <c r="G42" i="7"/>
  <c r="F42" i="7"/>
  <c r="P36" i="7"/>
  <c r="M36" i="7"/>
  <c r="T36" i="7"/>
  <c r="J36" i="7"/>
  <c r="G36" i="7"/>
  <c r="F36" i="7"/>
  <c r="P28" i="7"/>
  <c r="M28" i="7"/>
  <c r="T28" i="7"/>
  <c r="J28" i="7"/>
  <c r="G28" i="7"/>
  <c r="F28" i="7"/>
  <c r="P9" i="7"/>
  <c r="M9" i="7"/>
  <c r="T9" i="7"/>
  <c r="J9" i="7"/>
  <c r="G9" i="7"/>
  <c r="F9" i="7"/>
  <c r="P15" i="7"/>
  <c r="M15" i="7"/>
  <c r="T15" i="7"/>
  <c r="J15" i="7"/>
  <c r="G15" i="7"/>
  <c r="F15" i="7"/>
  <c r="P23" i="7"/>
  <c r="M23" i="7"/>
  <c r="T23" i="7"/>
  <c r="J23" i="7"/>
  <c r="G23" i="7"/>
  <c r="F23" i="7"/>
  <c r="P7" i="7"/>
  <c r="M7" i="7"/>
  <c r="T7" i="7"/>
  <c r="J7" i="7"/>
  <c r="G7" i="7"/>
  <c r="F7" i="7"/>
  <c r="P51" i="7"/>
  <c r="M51" i="7"/>
  <c r="T51" i="7"/>
  <c r="J51" i="7"/>
  <c r="G51" i="7"/>
  <c r="F51" i="7"/>
  <c r="P30" i="7"/>
  <c r="M30" i="7"/>
  <c r="T30" i="7"/>
  <c r="J30" i="7"/>
  <c r="G30" i="7"/>
  <c r="F30" i="7"/>
  <c r="P35" i="7"/>
  <c r="M35" i="7"/>
  <c r="T35" i="7"/>
  <c r="J35" i="7"/>
  <c r="G35" i="7"/>
  <c r="F35" i="7"/>
  <c r="P38" i="7"/>
  <c r="M38" i="7"/>
  <c r="T38" i="7"/>
  <c r="J38" i="7"/>
  <c r="G38" i="7"/>
  <c r="F38" i="7"/>
  <c r="P49" i="7"/>
  <c r="M49" i="7"/>
  <c r="T49" i="7"/>
  <c r="J49" i="7"/>
  <c r="G49" i="7"/>
  <c r="F49" i="7"/>
  <c r="P4" i="7"/>
  <c r="M4" i="7"/>
  <c r="T4" i="7"/>
  <c r="J4" i="7"/>
  <c r="G4" i="7"/>
  <c r="F4" i="7"/>
  <c r="P33" i="7"/>
  <c r="M33" i="7"/>
  <c r="T33" i="7"/>
  <c r="J33" i="7"/>
  <c r="G33" i="7"/>
  <c r="F33" i="7"/>
  <c r="P16" i="7"/>
  <c r="M16" i="7"/>
  <c r="T16" i="7"/>
  <c r="J16" i="7"/>
  <c r="G16" i="7"/>
  <c r="F16" i="7"/>
  <c r="P29" i="7"/>
  <c r="M29" i="7"/>
  <c r="T29" i="7"/>
  <c r="J29" i="7"/>
  <c r="G29" i="7"/>
  <c r="F29" i="7"/>
  <c r="P39" i="7"/>
  <c r="M39" i="7"/>
  <c r="T39" i="7"/>
  <c r="J39" i="7"/>
  <c r="G39" i="7"/>
  <c r="F39" i="7"/>
  <c r="P44" i="7"/>
  <c r="M44" i="7"/>
  <c r="T44" i="7"/>
  <c r="J44" i="7"/>
  <c r="G44" i="7"/>
  <c r="F44" i="7"/>
  <c r="L48" i="6"/>
  <c r="M48" i="6"/>
  <c r="N48" i="6"/>
  <c r="H48" i="6"/>
  <c r="G48" i="6"/>
  <c r="J48" i="6" s="1"/>
  <c r="M45" i="6"/>
  <c r="N45" i="6"/>
  <c r="H45" i="6"/>
  <c r="G45" i="6"/>
  <c r="M49" i="6"/>
  <c r="N49" i="6"/>
  <c r="H49" i="6"/>
  <c r="G49" i="6"/>
  <c r="L32" i="6"/>
  <c r="M32" i="6"/>
  <c r="N32" i="6"/>
  <c r="H32" i="6"/>
  <c r="G32" i="6"/>
  <c r="M34" i="6"/>
  <c r="N34" i="6"/>
  <c r="H34" i="6"/>
  <c r="G34" i="6"/>
  <c r="M37" i="6"/>
  <c r="N37" i="6"/>
  <c r="H37" i="6"/>
  <c r="G37" i="6"/>
  <c r="C37" i="6" s="1"/>
  <c r="M51" i="6"/>
  <c r="N51" i="6"/>
  <c r="H51" i="6"/>
  <c r="G51" i="6"/>
  <c r="C51" i="6" s="1"/>
  <c r="M52" i="6"/>
  <c r="N52" i="6"/>
  <c r="H52" i="6"/>
  <c r="G52" i="6"/>
  <c r="M39" i="6"/>
  <c r="N39" i="6"/>
  <c r="L39" i="6"/>
  <c r="H39" i="6"/>
  <c r="G39" i="6"/>
  <c r="M50" i="6"/>
  <c r="N50" i="6"/>
  <c r="H50" i="6"/>
  <c r="G50" i="6"/>
  <c r="C50" i="6" s="1"/>
  <c r="M46" i="6"/>
  <c r="N46" i="6"/>
  <c r="H46" i="6"/>
  <c r="G46" i="6"/>
  <c r="L43" i="6"/>
  <c r="M43" i="6"/>
  <c r="P43" i="6" s="1"/>
  <c r="N43" i="6"/>
  <c r="H43" i="6"/>
  <c r="G43" i="6"/>
  <c r="L41" i="6"/>
  <c r="M41" i="6"/>
  <c r="N41" i="6"/>
  <c r="H41" i="6"/>
  <c r="G41" i="6"/>
  <c r="M35" i="6"/>
  <c r="N35" i="6"/>
  <c r="L35" i="6"/>
  <c r="H35" i="6"/>
  <c r="G35" i="6"/>
  <c r="L27" i="6"/>
  <c r="M27" i="6"/>
  <c r="N27" i="6"/>
  <c r="H27" i="6"/>
  <c r="G27" i="6"/>
  <c r="M26" i="6"/>
  <c r="N26" i="6"/>
  <c r="H26" i="6"/>
  <c r="G26" i="6"/>
  <c r="C26" i="6" s="1"/>
  <c r="M42" i="6"/>
  <c r="N42" i="6"/>
  <c r="H42" i="6"/>
  <c r="G42" i="6"/>
  <c r="N25" i="6"/>
  <c r="M25" i="6"/>
  <c r="H25" i="6"/>
  <c r="G25" i="6"/>
  <c r="L31" i="6"/>
  <c r="M31" i="6"/>
  <c r="P31" i="6" s="1"/>
  <c r="N31" i="6"/>
  <c r="H31" i="6"/>
  <c r="G31" i="6"/>
  <c r="M47" i="6"/>
  <c r="N47" i="6"/>
  <c r="H47" i="6"/>
  <c r="G47" i="6"/>
  <c r="M36" i="6"/>
  <c r="N36" i="6"/>
  <c r="H36" i="6"/>
  <c r="G36" i="6"/>
  <c r="M33" i="6"/>
  <c r="N33" i="6"/>
  <c r="H33" i="6"/>
  <c r="G33" i="6"/>
  <c r="M38" i="6"/>
  <c r="N38" i="6"/>
  <c r="H38" i="6"/>
  <c r="G38" i="6"/>
  <c r="L44" i="6"/>
  <c r="M44" i="6"/>
  <c r="N44" i="6"/>
  <c r="H44" i="6"/>
  <c r="G44" i="6"/>
  <c r="L40" i="6"/>
  <c r="M40" i="6"/>
  <c r="N40" i="6"/>
  <c r="H40" i="6"/>
  <c r="G40" i="6"/>
  <c r="L23" i="6"/>
  <c r="N23" i="6"/>
  <c r="M23" i="6"/>
  <c r="H23" i="6"/>
  <c r="G23" i="6"/>
  <c r="N18" i="6"/>
  <c r="M18" i="6"/>
  <c r="P18" i="6" s="1"/>
  <c r="H18" i="6"/>
  <c r="G18" i="6"/>
  <c r="L28" i="6"/>
  <c r="M28" i="6"/>
  <c r="N28" i="6"/>
  <c r="H28" i="6"/>
  <c r="G28" i="6"/>
  <c r="L16" i="6"/>
  <c r="M16" i="6"/>
  <c r="N16" i="6"/>
  <c r="H16" i="6"/>
  <c r="G16" i="6"/>
  <c r="L19" i="6"/>
  <c r="M19" i="6"/>
  <c r="N19" i="6"/>
  <c r="H19" i="6"/>
  <c r="G19" i="6"/>
  <c r="M24" i="6"/>
  <c r="N24" i="6"/>
  <c r="H24" i="6"/>
  <c r="G24" i="6"/>
  <c r="L14" i="6"/>
  <c r="M14" i="6"/>
  <c r="N14" i="6"/>
  <c r="H14" i="6"/>
  <c r="G14" i="6"/>
  <c r="L30" i="6"/>
  <c r="M30" i="6"/>
  <c r="N30" i="6"/>
  <c r="H30" i="6"/>
  <c r="G30" i="6"/>
  <c r="L12" i="6"/>
  <c r="M12" i="6"/>
  <c r="N12" i="6"/>
  <c r="H12" i="6"/>
  <c r="G12" i="6"/>
  <c r="L20" i="6"/>
  <c r="M20" i="6"/>
  <c r="N20" i="6"/>
  <c r="H20" i="6"/>
  <c r="G20" i="6"/>
  <c r="C20" i="6" s="1"/>
  <c r="M21" i="6"/>
  <c r="N21" i="6"/>
  <c r="H21" i="6"/>
  <c r="G21" i="6"/>
  <c r="M29" i="6"/>
  <c r="N29" i="6"/>
  <c r="H29" i="6"/>
  <c r="G29" i="6"/>
  <c r="M13" i="6"/>
  <c r="N13" i="6"/>
  <c r="H13" i="6"/>
  <c r="G13" i="6"/>
  <c r="L22" i="6"/>
  <c r="M22" i="6"/>
  <c r="N22" i="6"/>
  <c r="H22" i="6"/>
  <c r="G22" i="6"/>
  <c r="C22" i="6" s="1"/>
  <c r="L15" i="6"/>
  <c r="M15" i="6"/>
  <c r="N15" i="6"/>
  <c r="H15" i="6"/>
  <c r="G15" i="6"/>
  <c r="L17" i="6"/>
  <c r="N17" i="6"/>
  <c r="H17" i="6"/>
  <c r="G17" i="6"/>
  <c r="C17" i="6" s="1"/>
  <c r="N3" i="6"/>
  <c r="H3" i="6"/>
  <c r="G3" i="6"/>
  <c r="C3" i="6" s="1"/>
  <c r="L9" i="6"/>
  <c r="M9" i="6"/>
  <c r="N9" i="6"/>
  <c r="H9" i="6"/>
  <c r="G9" i="6"/>
  <c r="L4" i="6"/>
  <c r="N4" i="6"/>
  <c r="H4" i="6"/>
  <c r="G4" i="6"/>
  <c r="M10" i="6"/>
  <c r="N10" i="6"/>
  <c r="H10" i="6"/>
  <c r="G10" i="6"/>
  <c r="C10" i="6" s="1"/>
  <c r="M8" i="6"/>
  <c r="N8" i="6"/>
  <c r="H8" i="6"/>
  <c r="G8" i="6"/>
  <c r="C8" i="6" s="1"/>
  <c r="N5" i="6"/>
  <c r="H5" i="6"/>
  <c r="G5" i="6"/>
  <c r="C5" i="6" s="1"/>
  <c r="N7" i="6"/>
  <c r="H7" i="6"/>
  <c r="G7" i="6"/>
  <c r="M11" i="6"/>
  <c r="N11" i="6"/>
  <c r="H11" i="6"/>
  <c r="G11" i="6"/>
  <c r="N6" i="6"/>
  <c r="L6" i="6"/>
  <c r="H6" i="6"/>
  <c r="G6" i="6"/>
  <c r="C6" i="6" s="1"/>
  <c r="L29" i="5"/>
  <c r="J29" i="5"/>
  <c r="H29" i="5"/>
  <c r="F29" i="5"/>
  <c r="D29" i="5"/>
  <c r="L3" i="5"/>
  <c r="J3" i="5"/>
  <c r="H3" i="5"/>
  <c r="F3" i="5"/>
  <c r="D3" i="5"/>
  <c r="L30" i="5"/>
  <c r="J30" i="5"/>
  <c r="H30" i="5"/>
  <c r="F30" i="5"/>
  <c r="D30" i="5"/>
  <c r="L51" i="5"/>
  <c r="J51" i="5"/>
  <c r="H51" i="5"/>
  <c r="F51" i="5"/>
  <c r="D51" i="5"/>
  <c r="L10" i="5"/>
  <c r="J10" i="5"/>
  <c r="H10" i="5"/>
  <c r="F10" i="5"/>
  <c r="D10" i="5"/>
  <c r="L15" i="5"/>
  <c r="K15" i="5"/>
  <c r="J15" i="5" s="1"/>
  <c r="H15" i="5"/>
  <c r="F15" i="5"/>
  <c r="D15" i="5"/>
  <c r="L19" i="5"/>
  <c r="J19" i="5"/>
  <c r="H19" i="5"/>
  <c r="F19" i="5"/>
  <c r="D19" i="5"/>
  <c r="L48" i="5"/>
  <c r="J48" i="5"/>
  <c r="H48" i="5"/>
  <c r="F48" i="5"/>
  <c r="D48" i="5"/>
  <c r="L49" i="5"/>
  <c r="J49" i="5"/>
  <c r="H49" i="5"/>
  <c r="F49" i="5"/>
  <c r="D49" i="5"/>
  <c r="L38" i="5"/>
  <c r="J38" i="5"/>
  <c r="H38" i="5"/>
  <c r="F38" i="5"/>
  <c r="D38" i="5"/>
  <c r="L20" i="5"/>
  <c r="J20" i="5"/>
  <c r="H20" i="5"/>
  <c r="F20" i="5"/>
  <c r="D20" i="5"/>
  <c r="L41" i="5"/>
  <c r="J41" i="5"/>
  <c r="H41" i="5"/>
  <c r="F41" i="5"/>
  <c r="D41" i="5"/>
  <c r="L21" i="5"/>
  <c r="K21" i="5"/>
  <c r="J21" i="5" s="1"/>
  <c r="H21" i="5"/>
  <c r="F21" i="5"/>
  <c r="D21" i="5"/>
  <c r="L52" i="5"/>
  <c r="J52" i="5"/>
  <c r="H52" i="5"/>
  <c r="F52" i="5"/>
  <c r="D52" i="5"/>
  <c r="L34" i="5"/>
  <c r="J34" i="5"/>
  <c r="H34" i="5"/>
  <c r="F34" i="5"/>
  <c r="D34" i="5"/>
  <c r="L5" i="5"/>
  <c r="J5" i="5"/>
  <c r="H5" i="5"/>
  <c r="F5" i="5"/>
  <c r="D5" i="5"/>
  <c r="L24" i="5"/>
  <c r="J24" i="5"/>
  <c r="H24" i="5"/>
  <c r="F24" i="5"/>
  <c r="D24" i="5"/>
  <c r="L23" i="5"/>
  <c r="J23" i="5"/>
  <c r="H23" i="5"/>
  <c r="F23" i="5"/>
  <c r="D23" i="5"/>
  <c r="L31" i="5"/>
  <c r="J31" i="5"/>
  <c r="H31" i="5"/>
  <c r="F31" i="5"/>
  <c r="D31" i="5"/>
  <c r="L14" i="5"/>
  <c r="K14" i="5"/>
  <c r="J14" i="5" s="1"/>
  <c r="H14" i="5"/>
  <c r="F14" i="5"/>
  <c r="D14" i="5"/>
  <c r="L47" i="5"/>
  <c r="J47" i="5"/>
  <c r="H47" i="5"/>
  <c r="F47" i="5"/>
  <c r="D47" i="5"/>
  <c r="L40" i="5"/>
  <c r="J40" i="5"/>
  <c r="H40" i="5"/>
  <c r="F40" i="5"/>
  <c r="D40" i="5"/>
  <c r="L9" i="5"/>
  <c r="J9" i="5"/>
  <c r="H9" i="5"/>
  <c r="F9" i="5"/>
  <c r="D9" i="5"/>
  <c r="L44" i="5"/>
  <c r="J44" i="5"/>
  <c r="H44" i="5"/>
  <c r="F44" i="5"/>
  <c r="D44" i="5"/>
  <c r="L26" i="5"/>
  <c r="J26" i="5"/>
  <c r="H26" i="5"/>
  <c r="F26" i="5"/>
  <c r="D26" i="5"/>
  <c r="L16" i="5"/>
  <c r="K16" i="5"/>
  <c r="J16" i="5" s="1"/>
  <c r="H16" i="5"/>
  <c r="F16" i="5"/>
  <c r="D16" i="5"/>
  <c r="L45" i="5"/>
  <c r="J45" i="5"/>
  <c r="H45" i="5"/>
  <c r="F45" i="5"/>
  <c r="D45" i="5"/>
  <c r="L32" i="5"/>
  <c r="J32" i="5"/>
  <c r="H32" i="5"/>
  <c r="F32" i="5"/>
  <c r="D32" i="5"/>
  <c r="L28" i="5"/>
  <c r="J28" i="5"/>
  <c r="H28" i="5"/>
  <c r="F28" i="5"/>
  <c r="D28" i="5"/>
  <c r="L50" i="5"/>
  <c r="K50" i="5"/>
  <c r="J50" i="5" s="1"/>
  <c r="H50" i="5"/>
  <c r="F50" i="5"/>
  <c r="D50" i="5"/>
  <c r="L33" i="5"/>
  <c r="J33" i="5"/>
  <c r="H33" i="5"/>
  <c r="F33" i="5"/>
  <c r="D33" i="5"/>
  <c r="L18" i="5"/>
  <c r="K18" i="5"/>
  <c r="J18" i="5" s="1"/>
  <c r="H18" i="5"/>
  <c r="F18" i="5"/>
  <c r="D18" i="5"/>
  <c r="L13" i="5"/>
  <c r="J13" i="5"/>
  <c r="H13" i="5"/>
  <c r="F13" i="5"/>
  <c r="D13" i="5"/>
  <c r="L2" i="5"/>
  <c r="K2" i="5"/>
  <c r="J2" i="5" s="1"/>
  <c r="H2" i="5"/>
  <c r="F2" i="5"/>
  <c r="D2" i="5"/>
  <c r="L36" i="5"/>
  <c r="J36" i="5"/>
  <c r="H36" i="5"/>
  <c r="F36" i="5"/>
  <c r="D36" i="5"/>
  <c r="L22" i="5"/>
  <c r="J22" i="5"/>
  <c r="H22" i="5"/>
  <c r="F22" i="5"/>
  <c r="D22" i="5"/>
  <c r="L17" i="5"/>
  <c r="J17" i="5"/>
  <c r="H17" i="5"/>
  <c r="F17" i="5"/>
  <c r="D17" i="5"/>
  <c r="L35" i="5"/>
  <c r="K35" i="5"/>
  <c r="J35" i="5" s="1"/>
  <c r="H35" i="5"/>
  <c r="F35" i="5"/>
  <c r="D35" i="5"/>
  <c r="L37" i="5"/>
  <c r="J37" i="5"/>
  <c r="H37" i="5"/>
  <c r="F37" i="5"/>
  <c r="D37" i="5"/>
  <c r="L39" i="5"/>
  <c r="K39" i="5"/>
  <c r="J39" i="5" s="1"/>
  <c r="H39" i="5"/>
  <c r="F39" i="5"/>
  <c r="D39" i="5"/>
  <c r="L4" i="5"/>
  <c r="K4" i="5"/>
  <c r="J4" i="5" s="1"/>
  <c r="H4" i="5"/>
  <c r="F4" i="5"/>
  <c r="D4" i="5"/>
  <c r="L43" i="5"/>
  <c r="J43" i="5"/>
  <c r="H43" i="5"/>
  <c r="F43" i="5"/>
  <c r="D43" i="5"/>
  <c r="L8" i="5"/>
  <c r="J8" i="5"/>
  <c r="H8" i="5"/>
  <c r="F8" i="5"/>
  <c r="D8" i="5"/>
  <c r="L7" i="5"/>
  <c r="K7" i="5"/>
  <c r="J7" i="5" s="1"/>
  <c r="H7" i="5"/>
  <c r="F7" i="5"/>
  <c r="D7" i="5"/>
  <c r="L46" i="5"/>
  <c r="J46" i="5"/>
  <c r="H46" i="5"/>
  <c r="F46" i="5"/>
  <c r="D46" i="5"/>
  <c r="L25" i="5"/>
  <c r="K25" i="5"/>
  <c r="J25" i="5" s="1"/>
  <c r="H25" i="5"/>
  <c r="F25" i="5"/>
  <c r="D25" i="5"/>
  <c r="L42" i="5"/>
  <c r="J42" i="5"/>
  <c r="H42" i="5"/>
  <c r="F42" i="5"/>
  <c r="D42" i="5"/>
  <c r="L12" i="5"/>
  <c r="K12" i="5"/>
  <c r="J12" i="5" s="1"/>
  <c r="H12" i="5"/>
  <c r="F12" i="5"/>
  <c r="D12" i="5"/>
  <c r="L11" i="5"/>
  <c r="K11" i="5"/>
  <c r="J11" i="5" s="1"/>
  <c r="H11" i="5"/>
  <c r="F11" i="5"/>
  <c r="D11" i="5"/>
  <c r="L27" i="5"/>
  <c r="J27" i="5"/>
  <c r="H27" i="5"/>
  <c r="F27" i="5"/>
  <c r="D27" i="5"/>
  <c r="R50" i="2"/>
  <c r="R47" i="2"/>
  <c r="R46" i="2"/>
  <c r="R44" i="2"/>
  <c r="R45" i="2"/>
  <c r="R40" i="2"/>
  <c r="R35" i="2"/>
  <c r="R38" i="2"/>
  <c r="R37" i="2"/>
  <c r="R42" i="2"/>
  <c r="R43" i="2"/>
  <c r="R33" i="2"/>
  <c r="R34" i="2"/>
  <c r="R39" i="2"/>
  <c r="R41" i="2"/>
  <c r="R36" i="2"/>
  <c r="R32" i="2"/>
  <c r="R27" i="2"/>
  <c r="R29" i="2"/>
  <c r="R31" i="2"/>
  <c r="R30" i="2"/>
  <c r="R28" i="2"/>
  <c r="R26" i="2"/>
  <c r="R25" i="2"/>
  <c r="R24" i="2"/>
  <c r="R23" i="2"/>
  <c r="R21" i="2"/>
  <c r="R20" i="2"/>
  <c r="R22" i="2"/>
  <c r="R18" i="2"/>
  <c r="R19" i="2"/>
  <c r="R16" i="2"/>
  <c r="R17" i="2"/>
  <c r="R14" i="2"/>
  <c r="R13" i="2"/>
  <c r="R15" i="2"/>
  <c r="R11" i="2"/>
  <c r="R12" i="2"/>
  <c r="R10" i="2"/>
  <c r="R9" i="2"/>
  <c r="R8" i="2"/>
  <c r="R7" i="2"/>
  <c r="R6" i="2"/>
  <c r="R5" i="2"/>
  <c r="R3" i="2"/>
  <c r="R4" i="2"/>
  <c r="P27" i="6" l="1"/>
  <c r="C39" i="6"/>
  <c r="C19" i="6"/>
  <c r="C2" i="6"/>
  <c r="C43" i="6"/>
  <c r="C4" i="6"/>
  <c r="C31" i="6"/>
  <c r="C7" i="6"/>
  <c r="C52" i="6"/>
  <c r="P2" i="6"/>
  <c r="P41" i="6"/>
  <c r="C16" i="6"/>
  <c r="P34" i="6"/>
  <c r="P49" i="6"/>
  <c r="P50" i="6"/>
  <c r="P25" i="6"/>
  <c r="P37" i="6"/>
  <c r="P39" i="6"/>
  <c r="P48" i="6"/>
  <c r="P32" i="6"/>
  <c r="P35" i="6"/>
  <c r="P47" i="6"/>
  <c r="P36" i="6"/>
  <c r="P38" i="6"/>
  <c r="P26" i="6"/>
  <c r="P45" i="6"/>
  <c r="P46" i="6"/>
  <c r="C38" i="6"/>
  <c r="P42" i="6"/>
  <c r="P51" i="6"/>
  <c r="P33" i="6"/>
  <c r="P52" i="6"/>
  <c r="P44" i="6"/>
  <c r="P40" i="6"/>
  <c r="P30" i="6"/>
  <c r="C15" i="6"/>
  <c r="C34" i="6"/>
  <c r="C41" i="6"/>
  <c r="C49" i="6"/>
  <c r="C46" i="6"/>
  <c r="C33" i="6"/>
  <c r="C9" i="6"/>
  <c r="C32" i="6"/>
  <c r="C45" i="6"/>
  <c r="C11" i="6"/>
  <c r="C27" i="6"/>
  <c r="C29" i="6"/>
  <c r="C24" i="6"/>
  <c r="C48" i="6"/>
  <c r="C36" i="6"/>
  <c r="C21" i="6"/>
  <c r="C42" i="6"/>
  <c r="C25" i="6"/>
  <c r="C28" i="6"/>
  <c r="C44" i="6"/>
  <c r="C40" i="6"/>
  <c r="C47" i="6"/>
  <c r="J23" i="6"/>
  <c r="C23" i="6"/>
  <c r="J35" i="6"/>
  <c r="C35" i="6"/>
  <c r="J18" i="6"/>
  <c r="C18" i="6"/>
  <c r="J14" i="6"/>
  <c r="C14" i="6"/>
  <c r="J30" i="6"/>
  <c r="C30" i="6"/>
  <c r="J12" i="6"/>
  <c r="C12" i="6"/>
  <c r="J13" i="6"/>
  <c r="C13" i="6"/>
  <c r="J47" i="6"/>
  <c r="J2" i="6"/>
  <c r="P9" i="6"/>
  <c r="L42" i="6"/>
  <c r="P4" i="6"/>
  <c r="P17" i="6"/>
  <c r="J41" i="6"/>
  <c r="P15" i="6"/>
  <c r="L21" i="6"/>
  <c r="L29" i="6"/>
  <c r="J24" i="6"/>
  <c r="P12" i="6"/>
  <c r="P21" i="6"/>
  <c r="P29" i="6"/>
  <c r="P13" i="6"/>
  <c r="J15" i="6"/>
  <c r="J9" i="6"/>
  <c r="J32" i="6"/>
  <c r="J46" i="6"/>
  <c r="P20" i="6"/>
  <c r="P11" i="6"/>
  <c r="L46" i="6"/>
  <c r="L49" i="6"/>
  <c r="J50" i="6"/>
  <c r="P16" i="6"/>
  <c r="L13" i="6"/>
  <c r="J52" i="6"/>
  <c r="J25" i="6"/>
  <c r="P28" i="6"/>
  <c r="L26" i="6"/>
  <c r="L11" i="6"/>
  <c r="P19" i="6"/>
  <c r="J22" i="6"/>
  <c r="L25" i="6"/>
  <c r="L45" i="6"/>
  <c r="J49" i="6"/>
  <c r="J34" i="6"/>
  <c r="J40" i="6"/>
  <c r="J6" i="6"/>
  <c r="J51" i="6"/>
  <c r="L52" i="6"/>
  <c r="P22" i="6"/>
  <c r="L7" i="6"/>
  <c r="J42" i="6"/>
  <c r="L24" i="6"/>
  <c r="J29" i="6"/>
  <c r="L10" i="6"/>
  <c r="P6" i="6"/>
  <c r="J7" i="6"/>
  <c r="J5" i="6"/>
  <c r="P8" i="6"/>
  <c r="J3" i="6"/>
  <c r="J21" i="6"/>
  <c r="J20" i="6"/>
  <c r="P14" i="6"/>
  <c r="J16" i="6"/>
  <c r="J28" i="6"/>
  <c r="P23" i="6"/>
  <c r="J27" i="6"/>
  <c r="J11" i="6"/>
  <c r="P5" i="6"/>
  <c r="L8" i="6"/>
  <c r="J4" i="6"/>
  <c r="P3" i="6"/>
  <c r="J19" i="6"/>
  <c r="J44" i="6"/>
  <c r="L38" i="6"/>
  <c r="L33" i="6"/>
  <c r="L36" i="6"/>
  <c r="L47" i="6"/>
  <c r="J26" i="6"/>
  <c r="L50" i="6"/>
  <c r="L18" i="6"/>
  <c r="L51" i="6"/>
  <c r="L37" i="6"/>
  <c r="L34" i="6"/>
  <c r="P7" i="6"/>
  <c r="L5" i="6"/>
  <c r="J10" i="6"/>
  <c r="L3" i="6"/>
  <c r="J33" i="6"/>
  <c r="J36" i="6"/>
  <c r="J31" i="6"/>
  <c r="J39" i="6"/>
  <c r="J8" i="6"/>
  <c r="J17" i="6"/>
  <c r="J43" i="6"/>
  <c r="J37" i="6"/>
  <c r="J45" i="6"/>
  <c r="P10" i="6"/>
  <c r="P24" i="6"/>
  <c r="J38" i="6"/>
</calcChain>
</file>

<file path=xl/sharedStrings.xml><?xml version="1.0" encoding="utf-8"?>
<sst xmlns="http://schemas.openxmlformats.org/spreadsheetml/2006/main" count="829" uniqueCount="370">
  <si>
    <t>Algeria</t>
  </si>
  <si>
    <t>Argentina</t>
  </si>
  <si>
    <t>Australia</t>
  </si>
  <si>
    <t>Austria</t>
  </si>
  <si>
    <t>Bangladesh</t>
  </si>
  <si>
    <t>Belgium</t>
  </si>
  <si>
    <t>Brazil</t>
  </si>
  <si>
    <t>Canada</t>
  </si>
  <si>
    <t>Chile</t>
  </si>
  <si>
    <t>China</t>
  </si>
  <si>
    <t>Colombia</t>
  </si>
  <si>
    <t>Denmark</t>
  </si>
  <si>
    <t>Egypt</t>
  </si>
  <si>
    <t>France</t>
  </si>
  <si>
    <t>Germany</t>
  </si>
  <si>
    <t>Greece</t>
  </si>
  <si>
    <t>India</t>
  </si>
  <si>
    <t>Indonesia</t>
  </si>
  <si>
    <t>Iran</t>
  </si>
  <si>
    <t>Iraq</t>
  </si>
  <si>
    <t>Israel</t>
  </si>
  <si>
    <t>Italy</t>
  </si>
  <si>
    <t>Japan</t>
  </si>
  <si>
    <t>Malaysia</t>
  </si>
  <si>
    <t>Mexico</t>
  </si>
  <si>
    <t>Morocco</t>
  </si>
  <si>
    <t>Netherlands</t>
  </si>
  <si>
    <t>Nigeria</t>
  </si>
  <si>
    <t>North Korea</t>
  </si>
  <si>
    <t>Norway</t>
  </si>
  <si>
    <t>Pakistan</t>
  </si>
  <si>
    <t>Philippines</t>
  </si>
  <si>
    <t>Poland</t>
  </si>
  <si>
    <t>Romania</t>
  </si>
  <si>
    <t>Russia</t>
  </si>
  <si>
    <t>Saudi Arabia</t>
  </si>
  <si>
    <t>Singapore</t>
  </si>
  <si>
    <t>South Africa</t>
  </si>
  <si>
    <t>South Korea</t>
  </si>
  <si>
    <t>Spain</t>
  </si>
  <si>
    <t>Sweden</t>
  </si>
  <si>
    <t>Switzerland</t>
  </si>
  <si>
    <t>Taiwan</t>
  </si>
  <si>
    <t>Thailand</t>
  </si>
  <si>
    <t>Turkey</t>
  </si>
  <si>
    <t>Ukraine</t>
  </si>
  <si>
    <t>United Kingdom</t>
  </si>
  <si>
    <t>United States</t>
  </si>
  <si>
    <t>Vietnam</t>
  </si>
  <si>
    <t>排名</t>
    <phoneticPr fontId="1" type="noConversion"/>
  </si>
  <si>
    <t>国家</t>
    <phoneticPr fontId="1" type="noConversion"/>
  </si>
  <si>
    <t>经济</t>
    <phoneticPr fontId="1" type="noConversion"/>
  </si>
  <si>
    <t>军事</t>
    <phoneticPr fontId="1" type="noConversion"/>
  </si>
  <si>
    <t>交通</t>
    <phoneticPr fontId="1" type="noConversion"/>
  </si>
  <si>
    <t>农业</t>
    <phoneticPr fontId="1" type="noConversion"/>
  </si>
  <si>
    <t>能源</t>
    <phoneticPr fontId="1" type="noConversion"/>
  </si>
  <si>
    <t>矿产</t>
    <phoneticPr fontId="1" type="noConversion"/>
  </si>
  <si>
    <t>政治</t>
    <phoneticPr fontId="1" type="noConversion"/>
  </si>
  <si>
    <t>domestic wealth2020</t>
  </si>
  <si>
    <t>挪威</t>
  </si>
  <si>
    <t>丹麦</t>
  </si>
  <si>
    <t>新加坡</t>
  </si>
  <si>
    <t>希腊</t>
  </si>
  <si>
    <t>以色列</t>
  </si>
  <si>
    <t>奥地利</t>
  </si>
  <si>
    <t>瑞士</t>
  </si>
  <si>
    <t>比利时</t>
  </si>
  <si>
    <t>瑞典</t>
  </si>
  <si>
    <t>罗马尼亚</t>
  </si>
  <si>
    <t>智利</t>
  </si>
  <si>
    <t>荷兰</t>
  </si>
  <si>
    <t>伊拉克</t>
  </si>
  <si>
    <t>摩洛哥</t>
  </si>
  <si>
    <t>阿尔及利亚</t>
  </si>
  <si>
    <t>澳大利亚</t>
  </si>
  <si>
    <t>沙特阿拉伯</t>
  </si>
  <si>
    <t>朝鲜</t>
  </si>
  <si>
    <t>波兰</t>
  </si>
  <si>
    <t>马来西亚</t>
  </si>
  <si>
    <t>乌克兰</t>
  </si>
  <si>
    <t>阿根廷</t>
  </si>
  <si>
    <t>加拿大</t>
  </si>
  <si>
    <t>西班牙</t>
  </si>
  <si>
    <t>意大利</t>
  </si>
  <si>
    <t>哥伦比亚</t>
  </si>
  <si>
    <t>南非</t>
  </si>
  <si>
    <t>伊朗</t>
  </si>
  <si>
    <t>韩国</t>
  </si>
  <si>
    <t>法国</t>
  </si>
  <si>
    <t>埃及</t>
  </si>
  <si>
    <t>英国</t>
  </si>
  <si>
    <t>土耳其</t>
  </si>
  <si>
    <t>泰国</t>
  </si>
  <si>
    <t>德国</t>
  </si>
  <si>
    <t>菲律宾</t>
  </si>
  <si>
    <t>越南</t>
  </si>
  <si>
    <t>墨西哥</t>
  </si>
  <si>
    <t>日本</t>
  </si>
  <si>
    <t>俄罗斯</t>
  </si>
  <si>
    <t>孟加拉国</t>
  </si>
  <si>
    <t>巴基斯坦</t>
  </si>
  <si>
    <t>巴西</t>
  </si>
  <si>
    <t>尼日利亚</t>
  </si>
  <si>
    <t>印度尼西亚</t>
  </si>
  <si>
    <t>美国</t>
  </si>
  <si>
    <t>印度</t>
  </si>
  <si>
    <t>中国</t>
  </si>
  <si>
    <t>铁</t>
  </si>
  <si>
    <t>铜</t>
  </si>
  <si>
    <t>铝</t>
  </si>
  <si>
    <t>铬</t>
  </si>
  <si>
    <t>锰</t>
  </si>
  <si>
    <t>镍</t>
  </si>
  <si>
    <t>钛</t>
  </si>
  <si>
    <t>铅</t>
  </si>
  <si>
    <t>锂</t>
  </si>
  <si>
    <t>土</t>
  </si>
  <si>
    <t>锌</t>
  </si>
  <si>
    <t>金</t>
  </si>
  <si>
    <t>银</t>
  </si>
  <si>
    <t>铀</t>
  </si>
  <si>
    <t>磷</t>
  </si>
  <si>
    <t>钾</t>
  </si>
  <si>
    <t>石</t>
  </si>
  <si>
    <t>The Emirates</t>
  </si>
  <si>
    <t>台湾省</t>
  </si>
  <si>
    <t>阿联酋</t>
  </si>
  <si>
    <t>分类</t>
    <phoneticPr fontId="1" type="noConversion"/>
  </si>
  <si>
    <t>超级大国</t>
    <phoneticPr fontId="1" type="noConversion"/>
  </si>
  <si>
    <t>一流强国</t>
    <phoneticPr fontId="1" type="noConversion"/>
  </si>
  <si>
    <t>刚果</t>
    <phoneticPr fontId="1" type="noConversion"/>
  </si>
  <si>
    <t>卡塔尔</t>
    <phoneticPr fontId="1" type="noConversion"/>
  </si>
  <si>
    <t>哈萨克斯坦</t>
    <phoneticPr fontId="1" type="noConversion"/>
  </si>
  <si>
    <t>爱尔兰</t>
    <phoneticPr fontId="1" type="noConversion"/>
  </si>
  <si>
    <t>芬兰</t>
    <phoneticPr fontId="1" type="noConversion"/>
  </si>
  <si>
    <t>新西兰</t>
    <phoneticPr fontId="1" type="noConversion"/>
  </si>
  <si>
    <t>肯尼亚</t>
    <phoneticPr fontId="1" type="noConversion"/>
  </si>
  <si>
    <t>埃塞俄比亚</t>
    <phoneticPr fontId="1" type="noConversion"/>
  </si>
  <si>
    <t>葡萄牙</t>
    <phoneticPr fontId="1" type="noConversion"/>
  </si>
  <si>
    <t>捷克</t>
    <phoneticPr fontId="1" type="noConversion"/>
  </si>
  <si>
    <t>中等国家下</t>
    <phoneticPr fontId="1" type="noConversion"/>
  </si>
  <si>
    <t>中等国家上</t>
    <phoneticPr fontId="1" type="noConversion"/>
  </si>
  <si>
    <t>中等国家中</t>
    <phoneticPr fontId="1" type="noConversion"/>
  </si>
  <si>
    <t>二流强国上</t>
    <phoneticPr fontId="1" type="noConversion"/>
  </si>
  <si>
    <t>二流强国下</t>
    <phoneticPr fontId="1" type="noConversion"/>
  </si>
  <si>
    <t>二重要政权</t>
    <phoneticPr fontId="1" type="noConversion"/>
  </si>
  <si>
    <t>Portugal</t>
    <phoneticPr fontId="1" type="noConversion"/>
  </si>
  <si>
    <t>Ethiopia</t>
    <phoneticPr fontId="1" type="noConversion"/>
  </si>
  <si>
    <t>Kenya</t>
    <phoneticPr fontId="1" type="noConversion"/>
  </si>
  <si>
    <t>New Zealand</t>
    <phoneticPr fontId="1" type="noConversion"/>
  </si>
  <si>
    <t>Finland</t>
    <phoneticPr fontId="1" type="noConversion"/>
  </si>
  <si>
    <t>Ireland</t>
    <phoneticPr fontId="1" type="noConversion"/>
  </si>
  <si>
    <t>Kazakhstan</t>
    <phoneticPr fontId="1" type="noConversion"/>
  </si>
  <si>
    <t>Qatar</t>
    <phoneticPr fontId="1" type="noConversion"/>
  </si>
  <si>
    <t>Congo DRC</t>
    <phoneticPr fontId="1" type="noConversion"/>
  </si>
  <si>
    <t>地利</t>
    <phoneticPr fontId="1" type="noConversion"/>
  </si>
  <si>
    <t>人和</t>
    <phoneticPr fontId="1" type="noConversion"/>
  </si>
  <si>
    <t>稳定</t>
    <phoneticPr fontId="1" type="noConversion"/>
  </si>
  <si>
    <t>委内瑞拉</t>
    <phoneticPr fontId="1" type="noConversion"/>
  </si>
  <si>
    <t>Venezuela</t>
    <phoneticPr fontId="1" type="noConversion"/>
  </si>
  <si>
    <t>沙特阿拉伯</t>
    <phoneticPr fontId="1" type="noConversion"/>
  </si>
  <si>
    <t>ppp2023</t>
    <phoneticPr fontId="1" type="noConversion"/>
  </si>
  <si>
    <t>ppp2024</t>
    <phoneticPr fontId="1" type="noConversion"/>
  </si>
  <si>
    <t>ppp2025</t>
    <phoneticPr fontId="1" type="noConversion"/>
  </si>
  <si>
    <t>gdp2023</t>
    <phoneticPr fontId="1" type="noConversion"/>
  </si>
  <si>
    <t>gdp2024</t>
    <phoneticPr fontId="1" type="noConversion"/>
  </si>
  <si>
    <t>gdp2025</t>
    <phoneticPr fontId="1" type="noConversion"/>
  </si>
  <si>
    <t>秘鲁</t>
    <phoneticPr fontId="1" type="noConversion"/>
  </si>
  <si>
    <t>Peru</t>
    <phoneticPr fontId="1" type="noConversion"/>
  </si>
  <si>
    <t>日本</t>
    <phoneticPr fontId="1" type="noConversion"/>
  </si>
  <si>
    <t>韩国</t>
    <phoneticPr fontId="1" type="noConversion"/>
  </si>
  <si>
    <t>新加坡</t>
    <phoneticPr fontId="1" type="noConversion"/>
  </si>
  <si>
    <t>以色列</t>
    <phoneticPr fontId="1" type="noConversion"/>
  </si>
  <si>
    <t>法国</t>
    <phoneticPr fontId="1" type="noConversion"/>
  </si>
  <si>
    <t>英国</t>
    <phoneticPr fontId="1" type="noConversion"/>
  </si>
  <si>
    <t>德国</t>
    <phoneticPr fontId="1" type="noConversion"/>
  </si>
  <si>
    <t>意大利</t>
    <phoneticPr fontId="1" type="noConversion"/>
  </si>
  <si>
    <t>西班牙</t>
    <phoneticPr fontId="1" type="noConversion"/>
  </si>
  <si>
    <t>奥地利</t>
    <phoneticPr fontId="1" type="noConversion"/>
  </si>
  <si>
    <t>比利时</t>
    <phoneticPr fontId="1" type="noConversion"/>
  </si>
  <si>
    <t>丹麦</t>
    <phoneticPr fontId="1" type="noConversion"/>
  </si>
  <si>
    <t>瑞典</t>
    <phoneticPr fontId="1" type="noConversion"/>
  </si>
  <si>
    <t>挪威</t>
    <phoneticPr fontId="1" type="noConversion"/>
  </si>
  <si>
    <t>希腊</t>
    <phoneticPr fontId="1" type="noConversion"/>
  </si>
  <si>
    <t>荷兰</t>
    <phoneticPr fontId="1" type="noConversion"/>
  </si>
  <si>
    <t>欧盟</t>
    <phoneticPr fontId="1" type="noConversion"/>
  </si>
  <si>
    <t>European Union</t>
    <phoneticPr fontId="1" type="noConversion"/>
  </si>
  <si>
    <t>超级联盟</t>
    <phoneticPr fontId="1" type="noConversion"/>
  </si>
  <si>
    <t>Czechia</t>
    <phoneticPr fontId="1" type="noConversion"/>
  </si>
  <si>
    <t>缅甸</t>
    <phoneticPr fontId="1" type="noConversion"/>
  </si>
  <si>
    <t>科威特</t>
    <phoneticPr fontId="1" type="noConversion"/>
  </si>
  <si>
    <t>Kuwait</t>
    <phoneticPr fontId="1" type="noConversion"/>
  </si>
  <si>
    <t>Myanmar</t>
    <phoneticPr fontId="1" type="noConversion"/>
  </si>
  <si>
    <t>天时</t>
    <phoneticPr fontId="1" type="noConversion"/>
  </si>
  <si>
    <t>台湾省</t>
    <phoneticPr fontId="1" type="noConversion"/>
  </si>
  <si>
    <t>排名</t>
    <phoneticPr fontId="9" type="noConversion"/>
  </si>
  <si>
    <t>国家</t>
  </si>
  <si>
    <t>海军</t>
  </si>
  <si>
    <t>陆军</t>
    <phoneticPr fontId="9" type="noConversion"/>
  </si>
  <si>
    <t>动员</t>
    <phoneticPr fontId="9" type="noConversion"/>
  </si>
  <si>
    <t>核弹头.战略潜艇</t>
  </si>
  <si>
    <t>军费开支亿美元</t>
  </si>
  <si>
    <t>兵力</t>
  </si>
  <si>
    <t>军用卫星.民用</t>
  </si>
  <si>
    <t>航空母舰.舰载机</t>
  </si>
  <si>
    <t>舰艇数量</t>
  </si>
  <si>
    <t>海军吨位</t>
  </si>
  <si>
    <t>导弹垂发单元</t>
  </si>
  <si>
    <t>防空反导</t>
  </si>
  <si>
    <t>军机.运输机</t>
  </si>
  <si>
    <t>坦克</t>
  </si>
  <si>
    <t>火炮</t>
  </si>
  <si>
    <t>实战</t>
  </si>
  <si>
    <t>北约</t>
  </si>
  <si>
    <t>单兵投入</t>
    <phoneticPr fontId="9" type="noConversion"/>
  </si>
  <si>
    <t>GDP购买力平价万亿</t>
  </si>
  <si>
    <t>人口百万</t>
  </si>
  <si>
    <t>面积平方公里</t>
  </si>
  <si>
    <t>空军</t>
    <phoneticPr fontId="1" type="noConversion"/>
  </si>
  <si>
    <t>潜艇.核潜艇</t>
    <phoneticPr fontId="1" type="noConversion"/>
  </si>
  <si>
    <t>排名</t>
  </si>
  <si>
    <t>购买力排名</t>
  </si>
  <si>
    <t>GDP购买力平价十亿美元</t>
  </si>
  <si>
    <t>GDP排名</t>
  </si>
  <si>
    <t>GDP十亿美元</t>
  </si>
  <si>
    <t>国内资产排名</t>
  </si>
  <si>
    <t>国内资产</t>
  </si>
  <si>
    <t>国民财富排名</t>
  </si>
  <si>
    <t>国民财富</t>
  </si>
  <si>
    <t>资本存量排名</t>
  </si>
  <si>
    <t>资本存量</t>
  </si>
  <si>
    <t>用电排名</t>
  </si>
  <si>
    <t>用电量</t>
  </si>
  <si>
    <t>增长排名</t>
  </si>
  <si>
    <t>经济增长</t>
  </si>
  <si>
    <t>十年增长</t>
  </si>
  <si>
    <t>就业排名</t>
  </si>
  <si>
    <t>就业人口百万</t>
  </si>
  <si>
    <t>人口排名</t>
  </si>
  <si>
    <t>人口</t>
    <phoneticPr fontId="9" type="noConversion"/>
  </si>
  <si>
    <t>评分</t>
    <phoneticPr fontId="9" type="noConversion"/>
  </si>
  <si>
    <t>权重</t>
    <phoneticPr fontId="9" type="noConversion"/>
  </si>
  <si>
    <t>人类发展指数</t>
  </si>
  <si>
    <t>科研投入</t>
  </si>
  <si>
    <t>IMF投票</t>
    <phoneticPr fontId="9" type="noConversion"/>
  </si>
  <si>
    <t>大使馆</t>
    <phoneticPr fontId="9" type="noConversion"/>
  </si>
  <si>
    <t>工业竞争力</t>
  </si>
  <si>
    <t>跨国公司</t>
  </si>
  <si>
    <t>外汇储备和主权基金</t>
    <phoneticPr fontId="9" type="noConversion"/>
  </si>
  <si>
    <t>得分</t>
  </si>
  <si>
    <t>城市化率</t>
  </si>
  <si>
    <t>政变暴乱</t>
  </si>
  <si>
    <t>长期通胀</t>
  </si>
  <si>
    <t>未来人口</t>
  </si>
  <si>
    <t>人口增长</t>
  </si>
  <si>
    <t>劳动力</t>
  </si>
  <si>
    <t>劳动人口占比</t>
  </si>
  <si>
    <t>人口</t>
  </si>
  <si>
    <t>物流</t>
  </si>
  <si>
    <t>网络分数</t>
  </si>
  <si>
    <t>网络排名</t>
  </si>
  <si>
    <t>道路长度</t>
  </si>
  <si>
    <t>道密度</t>
  </si>
  <si>
    <t>道路排名</t>
  </si>
  <si>
    <t>铁路里程</t>
  </si>
  <si>
    <t>铁路密度</t>
  </si>
  <si>
    <t>铁路排名</t>
  </si>
  <si>
    <t>机场数量</t>
  </si>
  <si>
    <t>机场密度</t>
  </si>
  <si>
    <t>航空排名</t>
  </si>
  <si>
    <t>汽车数量</t>
  </si>
  <si>
    <t>人均汽车</t>
  </si>
  <si>
    <t>车辆排名</t>
  </si>
  <si>
    <t>内河航道</t>
  </si>
  <si>
    <t>水运排名</t>
  </si>
  <si>
    <t>通航比</t>
  </si>
  <si>
    <t>国土面积</t>
  </si>
  <si>
    <t>耕地面积</t>
  </si>
  <si>
    <t>最大人均产量</t>
  </si>
  <si>
    <t>谷物产量吨</t>
  </si>
  <si>
    <t>年人均谷物</t>
  </si>
  <si>
    <t>公顷产量</t>
  </si>
  <si>
    <t>肉类折粮</t>
  </si>
  <si>
    <t>肉类产量</t>
  </si>
  <si>
    <t>人均衣物</t>
  </si>
  <si>
    <t>纤维作物产量</t>
  </si>
  <si>
    <t>人均木材</t>
  </si>
  <si>
    <t>林地面积</t>
  </si>
  <si>
    <t>每日热量</t>
  </si>
  <si>
    <t>境内水</t>
  </si>
  <si>
    <t>流入水</t>
  </si>
  <si>
    <t>循环水</t>
  </si>
  <si>
    <t>人均水资源</t>
  </si>
  <si>
    <t>内部水域率</t>
  </si>
  <si>
    <t>年用水量</t>
  </si>
  <si>
    <t>水源自给率</t>
  </si>
  <si>
    <t>海水淡化总量</t>
  </si>
  <si>
    <t>海水补充</t>
  </si>
  <si>
    <t>缺水</t>
    <phoneticPr fontId="1" type="noConversion"/>
  </si>
  <si>
    <t>人口</t>
    <phoneticPr fontId="1" type="noConversion"/>
  </si>
  <si>
    <t>其他占比</t>
    <phoneticPr fontId="1" type="noConversion"/>
  </si>
  <si>
    <t>可再生能源</t>
  </si>
  <si>
    <t>核能发电</t>
    <phoneticPr fontId="1" type="noConversion"/>
  </si>
  <si>
    <t>石油自给率</t>
  </si>
  <si>
    <t>可持续年份</t>
  </si>
  <si>
    <t>石油排名</t>
    <phoneticPr fontId="1" type="noConversion"/>
  </si>
  <si>
    <t>石油综合</t>
    <phoneticPr fontId="1" type="noConversion"/>
  </si>
  <si>
    <t>煤炭排名</t>
    <phoneticPr fontId="1" type="noConversion"/>
  </si>
  <si>
    <t>煤炭综合</t>
    <phoneticPr fontId="1" type="noConversion"/>
  </si>
  <si>
    <t>天然气自给率</t>
  </si>
  <si>
    <t>天然气储采年限</t>
    <phoneticPr fontId="1" type="noConversion"/>
  </si>
  <si>
    <t>天然气排名</t>
    <phoneticPr fontId="1" type="noConversion"/>
  </si>
  <si>
    <t>天然气综合</t>
    <phoneticPr fontId="1" type="noConversion"/>
  </si>
  <si>
    <t>天然气产量</t>
  </si>
  <si>
    <t>天然气储量</t>
  </si>
  <si>
    <t>天然气消耗</t>
  </si>
  <si>
    <t>煤炭产量</t>
  </si>
  <si>
    <t>煤炭储量</t>
  </si>
  <si>
    <t>煤炭消耗</t>
  </si>
  <si>
    <t>石油产量</t>
  </si>
  <si>
    <t>石油储量</t>
  </si>
  <si>
    <t>石油消耗</t>
  </si>
  <si>
    <t>国家</t>
    <phoneticPr fontId="9" type="noConversion"/>
  </si>
  <si>
    <t>钴</t>
  </si>
  <si>
    <t>钼</t>
  </si>
  <si>
    <t>铌</t>
  </si>
  <si>
    <t>钽</t>
  </si>
  <si>
    <t>钨</t>
  </si>
  <si>
    <t>钒</t>
  </si>
  <si>
    <t>锑</t>
  </si>
  <si>
    <t>砷</t>
  </si>
  <si>
    <t>铍</t>
  </si>
  <si>
    <t>铋</t>
  </si>
  <si>
    <t>镉</t>
  </si>
  <si>
    <t>镓</t>
  </si>
  <si>
    <t>锗</t>
  </si>
  <si>
    <t>铟</t>
  </si>
  <si>
    <t>汞</t>
  </si>
  <si>
    <t>铼</t>
  </si>
  <si>
    <t>硒</t>
  </si>
  <si>
    <t>碲</t>
  </si>
  <si>
    <t>锡</t>
  </si>
  <si>
    <t>钯</t>
  </si>
  <si>
    <t>铂</t>
  </si>
  <si>
    <t>铑</t>
  </si>
  <si>
    <t>石棉</t>
  </si>
  <si>
    <t>重晶石</t>
  </si>
  <si>
    <t>膨润土</t>
  </si>
  <si>
    <t>硼矿</t>
  </si>
  <si>
    <t>钻石</t>
  </si>
  <si>
    <t>金刚石</t>
  </si>
  <si>
    <t>硅藻土</t>
  </si>
  <si>
    <t>长石</t>
  </si>
  <si>
    <t>萤石</t>
  </si>
  <si>
    <t>石墨</t>
  </si>
  <si>
    <t>高岭土</t>
  </si>
  <si>
    <t>菱镁矿</t>
  </si>
  <si>
    <t>珍珠岩</t>
  </si>
  <si>
    <t>盐</t>
  </si>
  <si>
    <t>硫</t>
  </si>
  <si>
    <t>滑石、皂石与叶蜡石</t>
  </si>
  <si>
    <t>蛭石</t>
  </si>
  <si>
    <t>锆石</t>
  </si>
  <si>
    <t>动力煤</t>
  </si>
  <si>
    <t>炼焦煤</t>
  </si>
  <si>
    <t>褐煤</t>
  </si>
  <si>
    <t>天然气</t>
  </si>
  <si>
    <t>石油</t>
  </si>
  <si>
    <t>油砂</t>
  </si>
  <si>
    <t>页岩油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</si>
</sst>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Carlito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</font>
    <font>
      <sz val="9"/>
      <name val="宋体"/>
      <family val="3"/>
      <charset val="134"/>
    </font>
    <font>
      <sz val="11"/>
      <color theme="1"/>
      <name val="等线"/>
      <family val="3"/>
      <charset val="134"/>
    </font>
    <font>
      <b/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6" fillId="0" borderId="0"/>
    <xf numFmtId="0" fontId="6" fillId="0" borderId="0"/>
    <xf numFmtId="0" fontId="1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3" fillId="0" borderId="0" xfId="0" applyFont="1" applyAlignment="1">
      <alignment vertical="center"/>
    </xf>
    <xf numFmtId="3" fontId="3" fillId="0" borderId="0" xfId="0" applyNumberFormat="1" applyFont="1"/>
    <xf numFmtId="3" fontId="0" fillId="0" borderId="0" xfId="0" applyNumberFormat="1"/>
    <xf numFmtId="176" fontId="3" fillId="0" borderId="0" xfId="0" applyNumberFormat="1" applyFont="1"/>
    <xf numFmtId="176" fontId="0" fillId="0" borderId="0" xfId="0" applyNumberFormat="1"/>
    <xf numFmtId="0" fontId="0" fillId="0" borderId="0" xfId="0" applyAlignment="1">
      <alignment horizontal="right"/>
    </xf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/>
    <xf numFmtId="0" fontId="7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top"/>
    </xf>
    <xf numFmtId="176" fontId="8" fillId="0" borderId="1" xfId="0" applyNumberFormat="1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0" xfId="3" applyFont="1"/>
    <xf numFmtId="0" fontId="11" fillId="0" borderId="0" xfId="0" applyFont="1"/>
  </cellXfs>
  <cellStyles count="4">
    <cellStyle name="Normal" xfId="1" xr:uid="{97D5EF18-352D-42C6-A3C3-44BD7026C060}"/>
    <cellStyle name="常规" xfId="0" builtinId="0"/>
    <cellStyle name="常规 2" xfId="2" xr:uid="{C3658C77-F5C1-47AB-8694-48D760807801}"/>
    <cellStyle name="常规 3" xfId="3" xr:uid="{CC3935A9-735E-4F16-9222-232FDBFFD7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'1.0' encoding='utf-8'?>
<ns0:Relationships xmlns:ns0="http://schemas.openxmlformats.org/package/2006/relationships" />
</file>

<file path=xl/worksheets/_rels/sheet7.xml.rels><?xml version='1.0' encoding='utf-8'?>
<ns0:Relationships xmlns:ns0="http://schemas.openxmlformats.org/package/2006/relationships" />
</file>

<file path=xl/worksheets/_rels/sheet8.xml.rels><?xml version='1.0' encoding='utf-8'?>
<ns0:Relationships xmlns:ns0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"/>
  <sheetViews>
    <sheetView tabSelected="1" workbookViewId="0">
      <pane ySplit="1" topLeftCell="A2" activePane="bottomLeft" state="frozen"/>
      <selection pane="bottomLeft" activeCell="F15" sqref="F15"/>
    </sheetView>
  </sheetViews>
  <sheetFormatPr defaultRowHeight="13.9"/>
  <cols>
    <col min="1" max="1" width="10" customWidth="1"/>
    <col min="3" max="3" width="10.73046875" style="3" customWidth="1"/>
    <col min="4" max="4" width="13.73046875" customWidth="1"/>
  </cols>
  <sheetData>
    <row r="1" spans="1:15" s="13" customFormat="1">
      <c r="A1" s="13" t="s">
        <v>127</v>
      </c>
      <c r="B1" s="13" t="s">
        <v>49</v>
      </c>
      <c r="C1" s="22" t="s">
        <v>50</v>
      </c>
      <c r="E1" s="13" t="s">
        <v>57</v>
      </c>
      <c r="F1" s="13" t="s">
        <v>51</v>
      </c>
      <c r="G1" s="13" t="s">
        <v>52</v>
      </c>
      <c r="H1" s="13" t="s">
        <v>53</v>
      </c>
      <c r="I1" s="13" t="s">
        <v>54</v>
      </c>
      <c r="J1" s="13" t="s">
        <v>55</v>
      </c>
      <c r="K1" s="13" t="s">
        <v>56</v>
      </c>
      <c r="L1" s="13" t="s">
        <v>157</v>
      </c>
    </row>
    <row r="2" spans="1:15">
      <c r="A2" t="s">
        <v>128</v>
      </c>
      <c r="B2">
        <v>1</v>
      </c>
      <c r="C2" s="3" t="s">
        <v>104</v>
      </c>
      <c r="D2" t="s">
        <v>47</v>
      </c>
      <c r="E2">
        <v>3</v>
      </c>
      <c r="F2">
        <v>2</v>
      </c>
      <c r="G2" s="1">
        <v>1</v>
      </c>
      <c r="H2">
        <v>5</v>
      </c>
      <c r="I2">
        <v>5</v>
      </c>
      <c r="J2">
        <v>5</v>
      </c>
      <c r="K2">
        <v>3</v>
      </c>
      <c r="L2">
        <v>4</v>
      </c>
      <c r="M2">
        <f t="shared" ref="M2:M33" si="0">SUM(H2:L2)</f>
        <v>22</v>
      </c>
      <c r="N2">
        <f t="shared" ref="N2:N33" si="1">E2+F2+G2</f>
        <v>6</v>
      </c>
      <c r="O2">
        <f>100*(0.15*(51-E2)/50+0.3*(51-F2)/50+0.3*(51-G2)/50+0.02*H2/5+0.04*I2/5+0.05*J2/5+0.05*K2/5+0.09*L2/5)/(1-0.05*MIN(H2:L2))</f>
        <v>111.76470588235294</v>
      </c>
    </row>
    <row r="3" spans="1:15">
      <c r="A3" t="s">
        <v>128</v>
      </c>
      <c r="B3">
        <v>2</v>
      </c>
      <c r="C3" s="3" t="s">
        <v>106</v>
      </c>
      <c r="D3" t="s">
        <v>9</v>
      </c>
      <c r="E3">
        <v>21</v>
      </c>
      <c r="F3">
        <v>1</v>
      </c>
      <c r="G3" s="1">
        <v>2</v>
      </c>
      <c r="H3">
        <v>4</v>
      </c>
      <c r="I3">
        <v>3</v>
      </c>
      <c r="J3">
        <v>4</v>
      </c>
      <c r="K3">
        <v>4</v>
      </c>
      <c r="L3">
        <v>5</v>
      </c>
      <c r="M3">
        <f t="shared" si="0"/>
        <v>20</v>
      </c>
      <c r="N3">
        <f t="shared" si="1"/>
        <v>24</v>
      </c>
      <c r="O3">
        <f>100*(0.15*(51-E3)/50+0.3*(51-F3)/50+0.3*(51-G3)/50+0.02*H3/5+0.04*I3/5+0.05*J3/5+0.05*K3/5+0.09*L3/5)/(1-0.05*MIN(H3:L3))</f>
        <v>105.1764705882353</v>
      </c>
    </row>
    <row r="4" spans="1:15">
      <c r="A4" t="s">
        <v>187</v>
      </c>
      <c r="B4">
        <v>2.5</v>
      </c>
      <c r="C4" s="3" t="s">
        <v>185</v>
      </c>
      <c r="D4" t="s">
        <v>186</v>
      </c>
      <c r="E4">
        <v>10.5</v>
      </c>
      <c r="F4">
        <v>2.5</v>
      </c>
      <c r="G4" s="1">
        <v>2.5</v>
      </c>
      <c r="H4">
        <v>4.5</v>
      </c>
      <c r="I4">
        <v>4.5</v>
      </c>
      <c r="J4">
        <v>2.5</v>
      </c>
      <c r="K4">
        <v>2.5</v>
      </c>
      <c r="L4">
        <v>4.5</v>
      </c>
      <c r="M4">
        <f t="shared" si="0"/>
        <v>18.5</v>
      </c>
      <c r="N4">
        <f t="shared" si="1"/>
        <v>15.5</v>
      </c>
      <c r="O4">
        <f>100*(0.15*(51-E4)/50+0.3*(51-F4)/50+0.3*(51-G4)/50+0.02*H4/5+0.04*I4/5+0.05*J4/5+0.05*K4/5+0.09*L4/5)/(1-0.05*(MIN(H4:L4)-0.5))</f>
        <v>98.722222222222229</v>
      </c>
    </row>
    <row r="5" spans="1:15">
      <c r="A5" t="s">
        <v>129</v>
      </c>
      <c r="B5">
        <v>3</v>
      </c>
      <c r="C5" s="3" t="s">
        <v>98</v>
      </c>
      <c r="D5" t="s">
        <v>34</v>
      </c>
      <c r="E5">
        <v>26</v>
      </c>
      <c r="F5">
        <v>8</v>
      </c>
      <c r="G5" s="11">
        <v>3</v>
      </c>
      <c r="H5">
        <v>3</v>
      </c>
      <c r="I5">
        <v>5</v>
      </c>
      <c r="J5">
        <v>5</v>
      </c>
      <c r="K5">
        <v>5</v>
      </c>
      <c r="L5">
        <v>3</v>
      </c>
      <c r="M5">
        <f t="shared" si="0"/>
        <v>21</v>
      </c>
      <c r="N5">
        <f t="shared" si="1"/>
        <v>37</v>
      </c>
      <c r="O5">
        <f t="shared" ref="O5:O52" si="2">100*(0.15*(51-E5)/50+0.3*(51-F5)/50+0.3*(51-G5)/50+0.02*H5/5+0.04*I5/5+0.05*J5/5+0.05*K5/5+0.09*L5/5)/(1-0.05*MIN(H5:L5))</f>
        <v>97.29411764705884</v>
      </c>
    </row>
    <row r="6" spans="1:15">
      <c r="A6" t="s">
        <v>129</v>
      </c>
      <c r="B6">
        <v>4</v>
      </c>
      <c r="C6" s="3" t="s">
        <v>105</v>
      </c>
      <c r="D6" t="s">
        <v>16</v>
      </c>
      <c r="E6">
        <v>38</v>
      </c>
      <c r="F6">
        <v>3</v>
      </c>
      <c r="G6" s="1">
        <v>5</v>
      </c>
      <c r="H6">
        <v>3</v>
      </c>
      <c r="I6">
        <v>3</v>
      </c>
      <c r="J6">
        <v>2</v>
      </c>
      <c r="K6">
        <v>4</v>
      </c>
      <c r="L6">
        <v>2</v>
      </c>
      <c r="M6">
        <f t="shared" si="0"/>
        <v>14</v>
      </c>
      <c r="N6">
        <f t="shared" si="1"/>
        <v>46</v>
      </c>
      <c r="O6">
        <f t="shared" si="2"/>
        <v>81.666666666666686</v>
      </c>
    </row>
    <row r="7" spans="1:15">
      <c r="A7" t="s">
        <v>129</v>
      </c>
      <c r="B7">
        <v>5</v>
      </c>
      <c r="C7" s="3" t="s">
        <v>173</v>
      </c>
      <c r="D7" t="s">
        <v>13</v>
      </c>
      <c r="E7">
        <v>15</v>
      </c>
      <c r="F7">
        <v>6</v>
      </c>
      <c r="G7" s="1">
        <v>4</v>
      </c>
      <c r="H7">
        <v>5</v>
      </c>
      <c r="I7">
        <v>5</v>
      </c>
      <c r="J7">
        <v>2</v>
      </c>
      <c r="K7">
        <v>1</v>
      </c>
      <c r="L7">
        <v>4</v>
      </c>
      <c r="M7">
        <f t="shared" si="0"/>
        <v>17</v>
      </c>
      <c r="N7">
        <f t="shared" si="1"/>
        <v>25</v>
      </c>
      <c r="O7">
        <f t="shared" si="2"/>
        <v>86.526315789473671</v>
      </c>
    </row>
    <row r="8" spans="1:15">
      <c r="A8" t="s">
        <v>129</v>
      </c>
      <c r="B8">
        <v>6</v>
      </c>
      <c r="C8" s="3" t="s">
        <v>174</v>
      </c>
      <c r="D8" t="s">
        <v>46</v>
      </c>
      <c r="E8">
        <v>10</v>
      </c>
      <c r="F8">
        <v>7</v>
      </c>
      <c r="G8" s="1">
        <v>8</v>
      </c>
      <c r="H8">
        <v>5</v>
      </c>
      <c r="I8">
        <v>3</v>
      </c>
      <c r="J8">
        <v>3</v>
      </c>
      <c r="K8">
        <v>1</v>
      </c>
      <c r="L8">
        <v>4</v>
      </c>
      <c r="M8">
        <f t="shared" si="0"/>
        <v>16</v>
      </c>
      <c r="N8">
        <f t="shared" si="1"/>
        <v>25</v>
      </c>
      <c r="O8">
        <f t="shared" si="2"/>
        <v>84.31578947368422</v>
      </c>
    </row>
    <row r="9" spans="1:15">
      <c r="A9" t="s">
        <v>129</v>
      </c>
      <c r="B9">
        <v>7</v>
      </c>
      <c r="C9" s="3" t="s">
        <v>175</v>
      </c>
      <c r="D9" t="s">
        <v>14</v>
      </c>
      <c r="E9">
        <v>1</v>
      </c>
      <c r="F9">
        <v>5</v>
      </c>
      <c r="G9" s="1">
        <v>12</v>
      </c>
      <c r="H9">
        <v>5</v>
      </c>
      <c r="I9">
        <v>4</v>
      </c>
      <c r="J9">
        <v>1</v>
      </c>
      <c r="K9">
        <v>2</v>
      </c>
      <c r="L9">
        <v>5</v>
      </c>
      <c r="M9">
        <f t="shared" si="0"/>
        <v>17</v>
      </c>
      <c r="N9">
        <f t="shared" si="1"/>
        <v>18</v>
      </c>
      <c r="O9">
        <f t="shared" si="2"/>
        <v>87.578947368421055</v>
      </c>
    </row>
    <row r="10" spans="1:15">
      <c r="A10" t="s">
        <v>143</v>
      </c>
      <c r="B10">
        <v>8</v>
      </c>
      <c r="C10" s="3" t="s">
        <v>169</v>
      </c>
      <c r="D10" t="s">
        <v>22</v>
      </c>
      <c r="E10">
        <v>9</v>
      </c>
      <c r="F10">
        <v>4</v>
      </c>
      <c r="G10" s="1">
        <v>6</v>
      </c>
      <c r="H10">
        <v>5</v>
      </c>
      <c r="I10">
        <v>1</v>
      </c>
      <c r="J10">
        <v>1</v>
      </c>
      <c r="K10">
        <v>1</v>
      </c>
      <c r="L10">
        <v>3</v>
      </c>
      <c r="M10">
        <f t="shared" si="0"/>
        <v>11</v>
      </c>
      <c r="N10">
        <f t="shared" si="1"/>
        <v>19</v>
      </c>
      <c r="O10">
        <f t="shared" si="2"/>
        <v>82.10526315789474</v>
      </c>
    </row>
    <row r="11" spans="1:15">
      <c r="A11" t="s">
        <v>143</v>
      </c>
      <c r="B11">
        <v>9</v>
      </c>
      <c r="C11" s="3" t="s">
        <v>74</v>
      </c>
      <c r="D11" t="s">
        <v>2</v>
      </c>
      <c r="E11">
        <v>16</v>
      </c>
      <c r="F11" s="3">
        <v>17</v>
      </c>
      <c r="G11" s="1">
        <v>19</v>
      </c>
      <c r="H11">
        <v>2</v>
      </c>
      <c r="I11">
        <v>5</v>
      </c>
      <c r="J11">
        <v>4</v>
      </c>
      <c r="K11">
        <v>5</v>
      </c>
      <c r="L11">
        <v>5</v>
      </c>
      <c r="M11">
        <f t="shared" si="0"/>
        <v>21</v>
      </c>
      <c r="N11">
        <f t="shared" si="1"/>
        <v>52</v>
      </c>
      <c r="O11">
        <f t="shared" si="2"/>
        <v>81</v>
      </c>
    </row>
    <row r="12" spans="1:15">
      <c r="A12" t="s">
        <v>143</v>
      </c>
      <c r="B12">
        <v>10</v>
      </c>
      <c r="C12" s="3" t="s">
        <v>81</v>
      </c>
      <c r="D12" t="s">
        <v>7</v>
      </c>
      <c r="E12">
        <v>17</v>
      </c>
      <c r="F12" s="3">
        <v>11</v>
      </c>
      <c r="G12" s="1">
        <v>29</v>
      </c>
      <c r="H12">
        <v>2</v>
      </c>
      <c r="I12">
        <v>5</v>
      </c>
      <c r="J12">
        <v>5</v>
      </c>
      <c r="K12">
        <v>4</v>
      </c>
      <c r="L12">
        <v>5</v>
      </c>
      <c r="M12">
        <f t="shared" si="0"/>
        <v>21</v>
      </c>
      <c r="N12">
        <f t="shared" si="1"/>
        <v>57</v>
      </c>
      <c r="O12">
        <f t="shared" si="2"/>
        <v>78</v>
      </c>
    </row>
    <row r="13" spans="1:15">
      <c r="A13" t="s">
        <v>143</v>
      </c>
      <c r="B13">
        <v>11</v>
      </c>
      <c r="C13" s="3" t="s">
        <v>101</v>
      </c>
      <c r="D13" t="s">
        <v>6</v>
      </c>
      <c r="E13">
        <v>34</v>
      </c>
      <c r="F13" s="3">
        <v>10</v>
      </c>
      <c r="G13" s="1">
        <v>24</v>
      </c>
      <c r="H13">
        <v>2</v>
      </c>
      <c r="I13">
        <v>5</v>
      </c>
      <c r="J13">
        <v>4</v>
      </c>
      <c r="K13">
        <v>5</v>
      </c>
      <c r="L13">
        <v>5</v>
      </c>
      <c r="M13">
        <f t="shared" si="0"/>
        <v>21</v>
      </c>
      <c r="N13">
        <f t="shared" si="1"/>
        <v>68</v>
      </c>
      <c r="O13">
        <f t="shared" si="2"/>
        <v>76.333333333333329</v>
      </c>
    </row>
    <row r="14" spans="1:15">
      <c r="A14" t="s">
        <v>143</v>
      </c>
      <c r="B14">
        <v>12</v>
      </c>
      <c r="C14" s="3" t="s">
        <v>91</v>
      </c>
      <c r="D14" t="s">
        <v>44</v>
      </c>
      <c r="E14">
        <v>24</v>
      </c>
      <c r="F14" s="3">
        <v>16</v>
      </c>
      <c r="G14" s="1">
        <v>11</v>
      </c>
      <c r="H14">
        <v>3</v>
      </c>
      <c r="I14">
        <v>4</v>
      </c>
      <c r="J14">
        <v>3</v>
      </c>
      <c r="K14">
        <v>4</v>
      </c>
      <c r="L14">
        <v>3</v>
      </c>
      <c r="M14">
        <f t="shared" si="0"/>
        <v>17</v>
      </c>
      <c r="N14">
        <f t="shared" si="1"/>
        <v>51</v>
      </c>
      <c r="O14">
        <f t="shared" si="2"/>
        <v>82.235294117647072</v>
      </c>
    </row>
    <row r="15" spans="1:15">
      <c r="A15" t="s">
        <v>143</v>
      </c>
      <c r="B15">
        <v>13</v>
      </c>
      <c r="C15" s="3" t="s">
        <v>170</v>
      </c>
      <c r="D15" t="s">
        <v>38</v>
      </c>
      <c r="E15">
        <v>5</v>
      </c>
      <c r="F15">
        <v>13</v>
      </c>
      <c r="G15" s="1">
        <v>7</v>
      </c>
      <c r="H15">
        <v>4</v>
      </c>
      <c r="I15">
        <v>1</v>
      </c>
      <c r="J15">
        <v>1</v>
      </c>
      <c r="K15">
        <v>2</v>
      </c>
      <c r="L15">
        <v>3</v>
      </c>
      <c r="M15">
        <f t="shared" si="0"/>
        <v>11</v>
      </c>
      <c r="N15">
        <f t="shared" si="1"/>
        <v>25</v>
      </c>
      <c r="O15">
        <f t="shared" si="2"/>
        <v>77.684210526315809</v>
      </c>
    </row>
    <row r="16" spans="1:15">
      <c r="A16" t="s">
        <v>143</v>
      </c>
      <c r="B16">
        <v>14</v>
      </c>
      <c r="C16" s="3" t="s">
        <v>176</v>
      </c>
      <c r="D16" t="s">
        <v>21</v>
      </c>
      <c r="E16">
        <v>20</v>
      </c>
      <c r="F16">
        <v>9</v>
      </c>
      <c r="G16" s="1">
        <v>10</v>
      </c>
      <c r="H16">
        <v>4</v>
      </c>
      <c r="I16">
        <v>3</v>
      </c>
      <c r="J16">
        <v>1</v>
      </c>
      <c r="K16">
        <v>1</v>
      </c>
      <c r="L16">
        <v>4</v>
      </c>
      <c r="M16">
        <f t="shared" si="0"/>
        <v>13</v>
      </c>
      <c r="N16">
        <f t="shared" si="1"/>
        <v>39</v>
      </c>
      <c r="O16">
        <f t="shared" si="2"/>
        <v>76.10526315789474</v>
      </c>
    </row>
    <row r="17" spans="1:15">
      <c r="A17" t="s">
        <v>143</v>
      </c>
      <c r="B17">
        <v>15</v>
      </c>
      <c r="C17" s="3" t="s">
        <v>177</v>
      </c>
      <c r="D17" t="s">
        <v>39</v>
      </c>
      <c r="E17">
        <v>22</v>
      </c>
      <c r="F17" s="3">
        <v>14</v>
      </c>
      <c r="G17" s="1">
        <v>21</v>
      </c>
      <c r="H17">
        <v>4</v>
      </c>
      <c r="I17">
        <v>3</v>
      </c>
      <c r="J17">
        <v>1</v>
      </c>
      <c r="K17">
        <v>2</v>
      </c>
      <c r="L17">
        <v>4</v>
      </c>
      <c r="M17">
        <f t="shared" si="0"/>
        <v>14</v>
      </c>
      <c r="N17">
        <f t="shared" si="1"/>
        <v>57</v>
      </c>
      <c r="O17">
        <f t="shared" si="2"/>
        <v>66.421052631578945</v>
      </c>
    </row>
    <row r="18" spans="1:15">
      <c r="A18" t="s">
        <v>144</v>
      </c>
      <c r="B18">
        <v>16</v>
      </c>
      <c r="C18" s="3" t="s">
        <v>77</v>
      </c>
      <c r="D18" t="s">
        <v>32</v>
      </c>
      <c r="E18">
        <v>23</v>
      </c>
      <c r="F18" s="3">
        <v>21</v>
      </c>
      <c r="G18" s="1">
        <v>22</v>
      </c>
      <c r="H18">
        <v>4</v>
      </c>
      <c r="I18">
        <v>5</v>
      </c>
      <c r="J18">
        <v>2</v>
      </c>
      <c r="K18">
        <v>3</v>
      </c>
      <c r="L18">
        <v>3</v>
      </c>
      <c r="M18">
        <f t="shared" si="0"/>
        <v>17</v>
      </c>
      <c r="N18">
        <f t="shared" si="1"/>
        <v>66</v>
      </c>
      <c r="O18">
        <f t="shared" si="2"/>
        <v>66.444444444444457</v>
      </c>
    </row>
    <row r="19" spans="1:15">
      <c r="A19" t="s">
        <v>144</v>
      </c>
      <c r="B19" s="3">
        <v>17</v>
      </c>
      <c r="C19" s="3" t="s">
        <v>103</v>
      </c>
      <c r="D19" s="3" t="s">
        <v>17</v>
      </c>
      <c r="E19">
        <v>40</v>
      </c>
      <c r="F19" s="3">
        <v>12</v>
      </c>
      <c r="G19" s="1">
        <v>25</v>
      </c>
      <c r="H19">
        <v>2</v>
      </c>
      <c r="I19">
        <v>3</v>
      </c>
      <c r="J19">
        <v>4</v>
      </c>
      <c r="K19">
        <v>3</v>
      </c>
      <c r="L19">
        <v>3</v>
      </c>
      <c r="M19" s="3">
        <f t="shared" si="0"/>
        <v>15</v>
      </c>
      <c r="N19" s="3">
        <f t="shared" si="1"/>
        <v>77</v>
      </c>
      <c r="O19">
        <f t="shared" si="2"/>
        <v>64.333333333333343</v>
      </c>
    </row>
    <row r="20" spans="1:15">
      <c r="A20" t="s">
        <v>144</v>
      </c>
      <c r="B20">
        <v>18</v>
      </c>
      <c r="C20" s="3" t="s">
        <v>184</v>
      </c>
      <c r="D20" t="s">
        <v>26</v>
      </c>
      <c r="E20">
        <v>8</v>
      </c>
      <c r="F20" s="3">
        <v>19</v>
      </c>
      <c r="G20" s="1">
        <v>31</v>
      </c>
      <c r="H20">
        <v>5</v>
      </c>
      <c r="I20">
        <v>3</v>
      </c>
      <c r="J20">
        <v>2</v>
      </c>
      <c r="K20">
        <v>1</v>
      </c>
      <c r="L20">
        <v>4</v>
      </c>
      <c r="M20">
        <f t="shared" si="0"/>
        <v>15</v>
      </c>
      <c r="N20">
        <f t="shared" si="1"/>
        <v>58</v>
      </c>
      <c r="O20">
        <f t="shared" si="2"/>
        <v>61.789473684210527</v>
      </c>
    </row>
    <row r="21" spans="1:15">
      <c r="A21" t="s">
        <v>144</v>
      </c>
      <c r="B21">
        <v>19</v>
      </c>
      <c r="C21" s="3" t="s">
        <v>75</v>
      </c>
      <c r="D21" t="s">
        <v>35</v>
      </c>
      <c r="E21">
        <v>28</v>
      </c>
      <c r="F21" s="3">
        <v>20</v>
      </c>
      <c r="G21" s="1">
        <v>18</v>
      </c>
      <c r="H21">
        <v>2</v>
      </c>
      <c r="I21">
        <v>1</v>
      </c>
      <c r="J21">
        <v>5</v>
      </c>
      <c r="K21">
        <v>3</v>
      </c>
      <c r="L21">
        <v>3</v>
      </c>
      <c r="M21">
        <f t="shared" si="0"/>
        <v>14</v>
      </c>
      <c r="N21">
        <f t="shared" si="1"/>
        <v>66</v>
      </c>
      <c r="O21">
        <f t="shared" si="2"/>
        <v>63.473684210526329</v>
      </c>
    </row>
    <row r="22" spans="1:15">
      <c r="A22" t="s">
        <v>144</v>
      </c>
      <c r="B22" s="3">
        <v>20</v>
      </c>
      <c r="C22" s="3" t="s">
        <v>86</v>
      </c>
      <c r="D22" s="3" t="s">
        <v>18</v>
      </c>
      <c r="E22">
        <v>35</v>
      </c>
      <c r="F22" s="3">
        <v>23</v>
      </c>
      <c r="G22" s="1">
        <v>17</v>
      </c>
      <c r="H22">
        <v>2</v>
      </c>
      <c r="I22">
        <v>2</v>
      </c>
      <c r="J22">
        <v>5</v>
      </c>
      <c r="K22">
        <v>4</v>
      </c>
      <c r="L22">
        <v>1</v>
      </c>
      <c r="M22" s="3">
        <f t="shared" si="0"/>
        <v>14</v>
      </c>
      <c r="N22" s="3">
        <f t="shared" si="1"/>
        <v>75</v>
      </c>
      <c r="O22">
        <f t="shared" si="2"/>
        <v>58.10526315789474</v>
      </c>
    </row>
    <row r="23" spans="1:15">
      <c r="A23" t="s">
        <v>144</v>
      </c>
      <c r="B23">
        <v>21</v>
      </c>
      <c r="C23" s="3" t="s">
        <v>92</v>
      </c>
      <c r="D23" t="s">
        <v>43</v>
      </c>
      <c r="E23">
        <v>29</v>
      </c>
      <c r="F23" s="3">
        <v>22</v>
      </c>
      <c r="G23" s="1">
        <v>28</v>
      </c>
      <c r="H23">
        <v>3</v>
      </c>
      <c r="I23">
        <v>4</v>
      </c>
      <c r="J23">
        <v>2</v>
      </c>
      <c r="K23">
        <v>2</v>
      </c>
      <c r="L23">
        <v>4</v>
      </c>
      <c r="M23">
        <f t="shared" si="0"/>
        <v>15</v>
      </c>
      <c r="N23">
        <f t="shared" si="1"/>
        <v>79</v>
      </c>
      <c r="O23">
        <f t="shared" si="2"/>
        <v>59.333333333333336</v>
      </c>
    </row>
    <row r="24" spans="1:15">
      <c r="A24" t="s">
        <v>144</v>
      </c>
      <c r="B24">
        <v>22</v>
      </c>
      <c r="C24" s="3" t="s">
        <v>95</v>
      </c>
      <c r="D24" t="s">
        <v>48</v>
      </c>
      <c r="E24">
        <v>36</v>
      </c>
      <c r="F24" s="3">
        <v>24</v>
      </c>
      <c r="G24" s="1">
        <v>32</v>
      </c>
      <c r="H24">
        <v>3</v>
      </c>
      <c r="I24">
        <v>3</v>
      </c>
      <c r="J24">
        <v>3</v>
      </c>
      <c r="K24">
        <v>4</v>
      </c>
      <c r="L24">
        <v>3</v>
      </c>
      <c r="M24">
        <f t="shared" si="0"/>
        <v>16</v>
      </c>
      <c r="N24">
        <f t="shared" si="1"/>
        <v>92</v>
      </c>
      <c r="O24">
        <f t="shared" si="2"/>
        <v>56.588235294117652</v>
      </c>
    </row>
    <row r="25" spans="1:15">
      <c r="A25" t="s">
        <v>144</v>
      </c>
      <c r="B25">
        <v>23</v>
      </c>
      <c r="C25" s="3" t="s">
        <v>96</v>
      </c>
      <c r="D25" t="s">
        <v>24</v>
      </c>
      <c r="E25">
        <v>31</v>
      </c>
      <c r="F25" s="3">
        <v>15</v>
      </c>
      <c r="G25" s="1">
        <v>46</v>
      </c>
      <c r="H25">
        <v>2</v>
      </c>
      <c r="I25">
        <v>3</v>
      </c>
      <c r="J25">
        <v>3</v>
      </c>
      <c r="K25">
        <v>4</v>
      </c>
      <c r="L25">
        <v>4</v>
      </c>
      <c r="M25">
        <f t="shared" si="0"/>
        <v>16</v>
      </c>
      <c r="N25">
        <f t="shared" si="1"/>
        <v>92</v>
      </c>
      <c r="O25">
        <f t="shared" si="2"/>
        <v>53.333333333333329</v>
      </c>
    </row>
    <row r="26" spans="1:15">
      <c r="A26" t="s">
        <v>145</v>
      </c>
      <c r="B26" s="3">
        <v>23.5</v>
      </c>
      <c r="C26" s="3" t="s">
        <v>125</v>
      </c>
      <c r="D26" s="3" t="s">
        <v>42</v>
      </c>
      <c r="E26">
        <v>12</v>
      </c>
      <c r="F26" s="3">
        <v>18</v>
      </c>
      <c r="G26" s="1">
        <v>20</v>
      </c>
      <c r="H26">
        <v>4</v>
      </c>
      <c r="I26">
        <v>1</v>
      </c>
      <c r="J26">
        <v>1</v>
      </c>
      <c r="K26">
        <v>1</v>
      </c>
      <c r="L26">
        <v>2</v>
      </c>
      <c r="M26" s="3">
        <f t="shared" si="0"/>
        <v>9</v>
      </c>
      <c r="N26" s="3">
        <f t="shared" si="1"/>
        <v>50</v>
      </c>
      <c r="O26">
        <f t="shared" si="2"/>
        <v>61.157894736842117</v>
      </c>
    </row>
    <row r="27" spans="1:15">
      <c r="A27" t="s">
        <v>141</v>
      </c>
      <c r="B27">
        <v>24</v>
      </c>
      <c r="C27" s="3" t="s">
        <v>181</v>
      </c>
      <c r="D27" t="s">
        <v>40</v>
      </c>
      <c r="E27">
        <v>4</v>
      </c>
      <c r="F27">
        <v>31</v>
      </c>
      <c r="G27" s="1">
        <v>34</v>
      </c>
      <c r="H27">
        <v>4</v>
      </c>
      <c r="I27">
        <v>4</v>
      </c>
      <c r="J27">
        <v>3</v>
      </c>
      <c r="K27">
        <v>3</v>
      </c>
      <c r="L27">
        <v>5</v>
      </c>
      <c r="M27">
        <f t="shared" si="0"/>
        <v>19</v>
      </c>
      <c r="N27">
        <f t="shared" si="1"/>
        <v>69</v>
      </c>
      <c r="O27">
        <f t="shared" si="2"/>
        <v>66.000000000000014</v>
      </c>
    </row>
    <row r="28" spans="1:15">
      <c r="A28" t="s">
        <v>141</v>
      </c>
      <c r="B28">
        <v>25</v>
      </c>
      <c r="C28" s="3" t="s">
        <v>182</v>
      </c>
      <c r="D28" t="s">
        <v>29</v>
      </c>
      <c r="E28">
        <v>14</v>
      </c>
      <c r="F28">
        <v>33</v>
      </c>
      <c r="G28" s="1">
        <v>33</v>
      </c>
      <c r="H28">
        <v>3</v>
      </c>
      <c r="I28">
        <v>2</v>
      </c>
      <c r="J28">
        <v>5</v>
      </c>
      <c r="K28">
        <v>2</v>
      </c>
      <c r="L28">
        <v>5</v>
      </c>
      <c r="M28">
        <f t="shared" si="0"/>
        <v>17</v>
      </c>
      <c r="N28">
        <f t="shared" si="1"/>
        <v>80</v>
      </c>
      <c r="O28">
        <f t="shared" si="2"/>
        <v>57.222222222222221</v>
      </c>
    </row>
    <row r="29" spans="1:15">
      <c r="A29" t="s">
        <v>141</v>
      </c>
      <c r="B29">
        <v>26</v>
      </c>
      <c r="C29" s="3" t="s">
        <v>65</v>
      </c>
      <c r="D29" t="s">
        <v>41</v>
      </c>
      <c r="E29">
        <v>2</v>
      </c>
      <c r="F29" s="3">
        <v>25</v>
      </c>
      <c r="G29" s="1">
        <v>48</v>
      </c>
      <c r="H29">
        <v>5</v>
      </c>
      <c r="I29">
        <v>2</v>
      </c>
      <c r="J29">
        <v>3</v>
      </c>
      <c r="K29">
        <v>1</v>
      </c>
      <c r="L29">
        <v>5</v>
      </c>
      <c r="M29">
        <f t="shared" si="0"/>
        <v>16</v>
      </c>
      <c r="N29">
        <f t="shared" si="1"/>
        <v>75</v>
      </c>
      <c r="O29">
        <f t="shared" si="2"/>
        <v>51.263157894736857</v>
      </c>
    </row>
    <row r="30" spans="1:15">
      <c r="A30" t="s">
        <v>141</v>
      </c>
      <c r="B30">
        <v>27</v>
      </c>
      <c r="C30" s="3" t="s">
        <v>126</v>
      </c>
      <c r="D30" t="s">
        <v>124</v>
      </c>
      <c r="E30">
        <v>18</v>
      </c>
      <c r="F30" s="3">
        <v>32</v>
      </c>
      <c r="G30" s="1">
        <v>30</v>
      </c>
      <c r="H30">
        <v>4</v>
      </c>
      <c r="I30">
        <v>1</v>
      </c>
      <c r="J30">
        <v>5</v>
      </c>
      <c r="K30">
        <v>1</v>
      </c>
      <c r="L30">
        <v>3</v>
      </c>
      <c r="M30">
        <f t="shared" si="0"/>
        <v>14</v>
      </c>
      <c r="N30">
        <f t="shared" si="1"/>
        <v>80</v>
      </c>
      <c r="O30">
        <f t="shared" si="2"/>
        <v>50.21052631578948</v>
      </c>
    </row>
    <row r="31" spans="1:15">
      <c r="A31" t="s">
        <v>141</v>
      </c>
      <c r="B31">
        <v>28</v>
      </c>
      <c r="C31" s="3" t="s">
        <v>80</v>
      </c>
      <c r="D31" t="s">
        <v>1</v>
      </c>
      <c r="E31">
        <v>33</v>
      </c>
      <c r="F31" s="3">
        <v>26</v>
      </c>
      <c r="G31" s="1">
        <v>43</v>
      </c>
      <c r="H31">
        <v>2</v>
      </c>
      <c r="I31">
        <v>5</v>
      </c>
      <c r="J31">
        <v>4</v>
      </c>
      <c r="K31">
        <v>2</v>
      </c>
      <c r="L31">
        <v>4</v>
      </c>
      <c r="M31">
        <f t="shared" si="0"/>
        <v>17</v>
      </c>
      <c r="N31">
        <f t="shared" si="1"/>
        <v>102</v>
      </c>
      <c r="O31">
        <f t="shared" si="2"/>
        <v>48</v>
      </c>
    </row>
    <row r="32" spans="1:15">
      <c r="A32" t="s">
        <v>141</v>
      </c>
      <c r="B32" s="3">
        <v>29</v>
      </c>
      <c r="C32" s="3" t="s">
        <v>78</v>
      </c>
      <c r="D32" s="3" t="s">
        <v>23</v>
      </c>
      <c r="E32">
        <v>27</v>
      </c>
      <c r="F32" s="3">
        <v>27</v>
      </c>
      <c r="G32" s="12">
        <v>41</v>
      </c>
      <c r="H32">
        <v>3</v>
      </c>
      <c r="I32">
        <v>1</v>
      </c>
      <c r="J32">
        <v>4</v>
      </c>
      <c r="K32">
        <v>3</v>
      </c>
      <c r="L32">
        <v>4</v>
      </c>
      <c r="M32" s="3">
        <f t="shared" si="0"/>
        <v>15</v>
      </c>
      <c r="N32" s="3">
        <f t="shared" si="1"/>
        <v>95</v>
      </c>
      <c r="O32">
        <f t="shared" si="2"/>
        <v>46.105263157894733</v>
      </c>
    </row>
    <row r="33" spans="1:15">
      <c r="A33" t="s">
        <v>141</v>
      </c>
      <c r="B33" s="3">
        <v>30</v>
      </c>
      <c r="C33" s="3" t="s">
        <v>89</v>
      </c>
      <c r="D33" t="s">
        <v>12</v>
      </c>
      <c r="E33">
        <v>37</v>
      </c>
      <c r="F33" s="3">
        <v>28</v>
      </c>
      <c r="G33" s="1">
        <v>16</v>
      </c>
      <c r="H33">
        <v>1</v>
      </c>
      <c r="I33">
        <v>1</v>
      </c>
      <c r="J33">
        <v>3</v>
      </c>
      <c r="K33">
        <v>1</v>
      </c>
      <c r="L33">
        <v>1</v>
      </c>
      <c r="M33">
        <f t="shared" si="0"/>
        <v>7</v>
      </c>
      <c r="N33">
        <f t="shared" si="1"/>
        <v>81</v>
      </c>
      <c r="O33">
        <f t="shared" si="2"/>
        <v>48.421052631578959</v>
      </c>
    </row>
    <row r="34" spans="1:15">
      <c r="A34" t="s">
        <v>141</v>
      </c>
      <c r="B34">
        <v>31</v>
      </c>
      <c r="C34" s="3" t="s">
        <v>172</v>
      </c>
      <c r="D34" t="s">
        <v>20</v>
      </c>
      <c r="E34">
        <v>19</v>
      </c>
      <c r="F34" s="3">
        <v>38</v>
      </c>
      <c r="G34" s="1">
        <v>9</v>
      </c>
      <c r="H34">
        <v>4</v>
      </c>
      <c r="I34">
        <v>1</v>
      </c>
      <c r="J34">
        <v>2</v>
      </c>
      <c r="K34">
        <v>1</v>
      </c>
      <c r="L34">
        <v>2</v>
      </c>
      <c r="M34">
        <f t="shared" ref="M34:M52" si="3">SUM(H34:L34)</f>
        <v>10</v>
      </c>
      <c r="N34">
        <f t="shared" ref="N34:N52" si="4">E34+F34+G34</f>
        <v>66</v>
      </c>
      <c r="O34">
        <f t="shared" si="2"/>
        <v>54.315789473684212</v>
      </c>
    </row>
    <row r="35" spans="1:15">
      <c r="A35" t="s">
        <v>141</v>
      </c>
      <c r="B35">
        <v>32</v>
      </c>
      <c r="C35" s="3" t="s">
        <v>171</v>
      </c>
      <c r="D35" t="s">
        <v>36</v>
      </c>
      <c r="E35">
        <v>11</v>
      </c>
      <c r="F35" s="3">
        <v>37</v>
      </c>
      <c r="G35" s="1">
        <v>27</v>
      </c>
      <c r="H35">
        <v>5</v>
      </c>
      <c r="I35">
        <v>1</v>
      </c>
      <c r="J35">
        <v>1</v>
      </c>
      <c r="K35">
        <v>1</v>
      </c>
      <c r="L35">
        <v>4</v>
      </c>
      <c r="M35">
        <f t="shared" si="3"/>
        <v>12</v>
      </c>
      <c r="N35">
        <f t="shared" si="4"/>
        <v>75</v>
      </c>
      <c r="O35">
        <f t="shared" si="2"/>
        <v>49.26315789473685</v>
      </c>
    </row>
    <row r="36" spans="1:15">
      <c r="A36" t="s">
        <v>142</v>
      </c>
      <c r="B36">
        <v>33</v>
      </c>
      <c r="C36" s="3" t="s">
        <v>180</v>
      </c>
      <c r="D36" t="s">
        <v>11</v>
      </c>
      <c r="E36">
        <v>7</v>
      </c>
      <c r="F36" s="3">
        <v>42</v>
      </c>
      <c r="G36" s="1">
        <v>37</v>
      </c>
      <c r="H36">
        <v>5</v>
      </c>
      <c r="I36">
        <v>4</v>
      </c>
      <c r="J36">
        <v>4</v>
      </c>
      <c r="K36">
        <v>1</v>
      </c>
      <c r="L36">
        <v>5</v>
      </c>
      <c r="M36">
        <f t="shared" si="3"/>
        <v>19</v>
      </c>
      <c r="N36">
        <f t="shared" si="4"/>
        <v>86</v>
      </c>
      <c r="O36">
        <f t="shared" si="2"/>
        <v>48.631578947368432</v>
      </c>
    </row>
    <row r="37" spans="1:15">
      <c r="A37" t="s">
        <v>142</v>
      </c>
      <c r="B37">
        <v>34</v>
      </c>
      <c r="C37" s="3" t="s">
        <v>183</v>
      </c>
      <c r="D37" t="s">
        <v>15</v>
      </c>
      <c r="E37">
        <v>25</v>
      </c>
      <c r="F37">
        <v>46</v>
      </c>
      <c r="G37" s="1">
        <v>26</v>
      </c>
      <c r="H37">
        <v>3</v>
      </c>
      <c r="I37">
        <v>4</v>
      </c>
      <c r="J37">
        <v>1</v>
      </c>
      <c r="K37">
        <v>2</v>
      </c>
      <c r="L37">
        <v>3</v>
      </c>
      <c r="M37">
        <f t="shared" si="3"/>
        <v>13</v>
      </c>
      <c r="N37">
        <f t="shared" si="4"/>
        <v>97</v>
      </c>
      <c r="O37">
        <f t="shared" si="2"/>
        <v>40.631578947368432</v>
      </c>
    </row>
    <row r="38" spans="1:15">
      <c r="A38" t="s">
        <v>142</v>
      </c>
      <c r="B38" s="3">
        <v>35</v>
      </c>
      <c r="C38" s="3" t="s">
        <v>85</v>
      </c>
      <c r="D38" s="3" t="s">
        <v>37</v>
      </c>
      <c r="E38">
        <v>39</v>
      </c>
      <c r="F38" s="3">
        <v>39</v>
      </c>
      <c r="G38" s="1">
        <v>40</v>
      </c>
      <c r="H38">
        <v>3</v>
      </c>
      <c r="I38">
        <v>3</v>
      </c>
      <c r="J38">
        <v>2</v>
      </c>
      <c r="K38">
        <v>5</v>
      </c>
      <c r="L38">
        <v>4</v>
      </c>
      <c r="M38" s="3">
        <f t="shared" si="3"/>
        <v>17</v>
      </c>
      <c r="N38" s="3">
        <f t="shared" si="4"/>
        <v>118</v>
      </c>
      <c r="O38">
        <f t="shared" si="2"/>
        <v>39.111111111111107</v>
      </c>
    </row>
    <row r="39" spans="1:15">
      <c r="A39" t="s">
        <v>142</v>
      </c>
      <c r="B39">
        <v>36</v>
      </c>
      <c r="C39" s="3" t="s">
        <v>68</v>
      </c>
      <c r="D39" t="s">
        <v>33</v>
      </c>
      <c r="E39">
        <v>30</v>
      </c>
      <c r="F39" s="3">
        <v>43</v>
      </c>
      <c r="G39" s="1">
        <v>35</v>
      </c>
      <c r="H39">
        <v>3</v>
      </c>
      <c r="I39">
        <v>4</v>
      </c>
      <c r="J39">
        <v>3</v>
      </c>
      <c r="K39">
        <v>2</v>
      </c>
      <c r="L39">
        <v>3</v>
      </c>
      <c r="M39">
        <f t="shared" si="3"/>
        <v>15</v>
      </c>
      <c r="N39">
        <f t="shared" si="4"/>
        <v>108</v>
      </c>
      <c r="O39">
        <f t="shared" si="2"/>
        <v>39.44444444444445</v>
      </c>
    </row>
    <row r="40" spans="1:15">
      <c r="A40" t="s">
        <v>142</v>
      </c>
      <c r="B40">
        <v>37</v>
      </c>
      <c r="C40" s="3" t="s">
        <v>79</v>
      </c>
      <c r="D40" t="s">
        <v>45</v>
      </c>
      <c r="E40">
        <v>42</v>
      </c>
      <c r="F40">
        <v>48</v>
      </c>
      <c r="G40" s="1">
        <v>14</v>
      </c>
      <c r="H40">
        <v>2</v>
      </c>
      <c r="I40">
        <v>5</v>
      </c>
      <c r="J40">
        <v>3</v>
      </c>
      <c r="K40">
        <v>3</v>
      </c>
      <c r="L40">
        <v>3</v>
      </c>
      <c r="M40">
        <f t="shared" si="3"/>
        <v>16</v>
      </c>
      <c r="N40">
        <f t="shared" si="4"/>
        <v>104</v>
      </c>
      <c r="O40">
        <f t="shared" si="2"/>
        <v>47.666666666666671</v>
      </c>
    </row>
    <row r="41" spans="1:15">
      <c r="A41" t="s">
        <v>142</v>
      </c>
      <c r="B41">
        <v>38</v>
      </c>
      <c r="C41" s="3" t="s">
        <v>100</v>
      </c>
      <c r="D41" t="s">
        <v>30</v>
      </c>
      <c r="E41">
        <v>49</v>
      </c>
      <c r="F41" s="3">
        <v>40</v>
      </c>
      <c r="G41" s="1">
        <v>13</v>
      </c>
      <c r="H41">
        <v>1</v>
      </c>
      <c r="I41">
        <v>2</v>
      </c>
      <c r="J41">
        <v>3</v>
      </c>
      <c r="K41">
        <v>3</v>
      </c>
      <c r="L41">
        <v>1</v>
      </c>
      <c r="M41">
        <f t="shared" si="3"/>
        <v>10</v>
      </c>
      <c r="N41">
        <f t="shared" si="4"/>
        <v>102</v>
      </c>
      <c r="O41">
        <f t="shared" si="2"/>
        <v>41.894736842105274</v>
      </c>
    </row>
    <row r="42" spans="1:15">
      <c r="A42" t="s">
        <v>142</v>
      </c>
      <c r="B42">
        <v>39</v>
      </c>
      <c r="C42" s="3" t="s">
        <v>179</v>
      </c>
      <c r="D42" t="s">
        <v>5</v>
      </c>
      <c r="E42">
        <v>6</v>
      </c>
      <c r="F42">
        <v>30</v>
      </c>
      <c r="G42">
        <v>49</v>
      </c>
      <c r="H42">
        <v>5</v>
      </c>
      <c r="I42">
        <v>3</v>
      </c>
      <c r="J42">
        <v>2</v>
      </c>
      <c r="K42">
        <v>1</v>
      </c>
      <c r="L42">
        <v>4</v>
      </c>
      <c r="M42">
        <f t="shared" si="3"/>
        <v>15</v>
      </c>
      <c r="N42">
        <f t="shared" si="4"/>
        <v>85</v>
      </c>
      <c r="O42">
        <f t="shared" si="2"/>
        <v>44.105263157894754</v>
      </c>
    </row>
    <row r="43" spans="1:15">
      <c r="A43" t="s">
        <v>142</v>
      </c>
      <c r="B43">
        <v>40</v>
      </c>
      <c r="C43" s="3" t="s">
        <v>178</v>
      </c>
      <c r="D43" t="s">
        <v>3</v>
      </c>
      <c r="E43">
        <v>13</v>
      </c>
      <c r="F43" s="3">
        <v>36</v>
      </c>
      <c r="G43">
        <v>50</v>
      </c>
      <c r="H43">
        <v>4</v>
      </c>
      <c r="I43">
        <v>4</v>
      </c>
      <c r="J43">
        <v>2</v>
      </c>
      <c r="K43">
        <v>2</v>
      </c>
      <c r="L43">
        <v>5</v>
      </c>
      <c r="M43">
        <f t="shared" si="3"/>
        <v>17</v>
      </c>
      <c r="N43">
        <f t="shared" si="4"/>
        <v>99</v>
      </c>
      <c r="O43">
        <f t="shared" si="2"/>
        <v>43.111111111111114</v>
      </c>
    </row>
    <row r="44" spans="1:15">
      <c r="A44" t="s">
        <v>142</v>
      </c>
      <c r="B44">
        <v>41</v>
      </c>
      <c r="C44" s="3" t="s">
        <v>69</v>
      </c>
      <c r="D44" t="s">
        <v>8</v>
      </c>
      <c r="E44">
        <v>32</v>
      </c>
      <c r="F44" s="3">
        <v>45</v>
      </c>
      <c r="G44" s="1">
        <v>36</v>
      </c>
      <c r="H44">
        <v>3</v>
      </c>
      <c r="I44">
        <v>2</v>
      </c>
      <c r="J44">
        <v>2</v>
      </c>
      <c r="K44">
        <v>3</v>
      </c>
      <c r="L44">
        <v>4</v>
      </c>
      <c r="M44">
        <f t="shared" si="3"/>
        <v>14</v>
      </c>
      <c r="N44">
        <f t="shared" si="4"/>
        <v>113</v>
      </c>
      <c r="O44">
        <f t="shared" si="2"/>
        <v>37.000000000000007</v>
      </c>
    </row>
    <row r="45" spans="1:15">
      <c r="A45" t="s">
        <v>142</v>
      </c>
      <c r="B45">
        <v>42</v>
      </c>
      <c r="C45" s="3" t="s">
        <v>73</v>
      </c>
      <c r="D45" t="s">
        <v>0</v>
      </c>
      <c r="E45">
        <v>43</v>
      </c>
      <c r="F45" s="3">
        <v>44</v>
      </c>
      <c r="G45" s="1">
        <v>23</v>
      </c>
      <c r="H45">
        <v>1</v>
      </c>
      <c r="I45">
        <v>1</v>
      </c>
      <c r="J45">
        <v>5</v>
      </c>
      <c r="K45">
        <v>2</v>
      </c>
      <c r="L45">
        <v>2</v>
      </c>
      <c r="M45">
        <f t="shared" si="3"/>
        <v>11</v>
      </c>
      <c r="N45">
        <f t="shared" si="4"/>
        <v>110</v>
      </c>
      <c r="O45">
        <f t="shared" si="2"/>
        <v>37.05263157894737</v>
      </c>
    </row>
    <row r="46" spans="1:15" s="3" customFormat="1">
      <c r="A46" t="s">
        <v>142</v>
      </c>
      <c r="B46">
        <v>43</v>
      </c>
      <c r="C46" s="3" t="s">
        <v>84</v>
      </c>
      <c r="D46" t="s">
        <v>10</v>
      </c>
      <c r="E46">
        <v>41</v>
      </c>
      <c r="F46" s="3">
        <v>41</v>
      </c>
      <c r="G46" s="1">
        <v>44</v>
      </c>
      <c r="H46">
        <v>1</v>
      </c>
      <c r="I46">
        <v>2</v>
      </c>
      <c r="J46">
        <v>4</v>
      </c>
      <c r="K46">
        <v>3</v>
      </c>
      <c r="L46">
        <v>3</v>
      </c>
      <c r="M46">
        <f t="shared" si="3"/>
        <v>13</v>
      </c>
      <c r="N46">
        <f t="shared" si="4"/>
        <v>126</v>
      </c>
      <c r="O46">
        <f t="shared" si="2"/>
        <v>29.05263157894737</v>
      </c>
    </row>
    <row r="47" spans="1:15" s="10" customFormat="1">
      <c r="A47" t="s">
        <v>142</v>
      </c>
      <c r="B47">
        <v>44</v>
      </c>
      <c r="C47" s="3" t="s">
        <v>94</v>
      </c>
      <c r="D47" t="s">
        <v>31</v>
      </c>
      <c r="E47">
        <v>45</v>
      </c>
      <c r="F47" s="3">
        <v>34</v>
      </c>
      <c r="G47" s="1">
        <v>45</v>
      </c>
      <c r="H47">
        <v>2</v>
      </c>
      <c r="I47">
        <v>1</v>
      </c>
      <c r="J47">
        <v>2</v>
      </c>
      <c r="K47">
        <v>3</v>
      </c>
      <c r="L47">
        <v>3</v>
      </c>
      <c r="M47">
        <f t="shared" si="3"/>
        <v>11</v>
      </c>
      <c r="N47">
        <f t="shared" si="4"/>
        <v>124</v>
      </c>
      <c r="O47">
        <f t="shared" si="2"/>
        <v>29.05263157894737</v>
      </c>
    </row>
    <row r="48" spans="1:15" s="3" customFormat="1">
      <c r="A48" t="s">
        <v>142</v>
      </c>
      <c r="B48">
        <v>45</v>
      </c>
      <c r="C48" s="3" t="s">
        <v>99</v>
      </c>
      <c r="D48" t="s">
        <v>4</v>
      </c>
      <c r="E48">
        <v>46</v>
      </c>
      <c r="F48" s="3">
        <v>29</v>
      </c>
      <c r="G48" s="1">
        <v>42</v>
      </c>
      <c r="H48">
        <v>2</v>
      </c>
      <c r="I48">
        <v>2</v>
      </c>
      <c r="J48">
        <v>1</v>
      </c>
      <c r="K48">
        <v>1</v>
      </c>
      <c r="L48">
        <v>1</v>
      </c>
      <c r="M48">
        <f t="shared" si="3"/>
        <v>7</v>
      </c>
      <c r="N48">
        <f t="shared" si="4"/>
        <v>117</v>
      </c>
      <c r="O48">
        <f t="shared" si="2"/>
        <v>27.684210526315798</v>
      </c>
    </row>
    <row r="49" spans="1:15" s="3" customFormat="1">
      <c r="A49" t="s">
        <v>142</v>
      </c>
      <c r="B49">
        <v>46</v>
      </c>
      <c r="C49" s="3" t="s">
        <v>76</v>
      </c>
      <c r="D49" t="s">
        <v>28</v>
      </c>
      <c r="E49">
        <v>50</v>
      </c>
      <c r="F49">
        <v>50</v>
      </c>
      <c r="G49">
        <v>15</v>
      </c>
      <c r="H49">
        <v>1</v>
      </c>
      <c r="I49">
        <v>1</v>
      </c>
      <c r="J49">
        <v>1</v>
      </c>
      <c r="K49">
        <v>3</v>
      </c>
      <c r="L49">
        <v>2</v>
      </c>
      <c r="M49">
        <f t="shared" si="3"/>
        <v>8</v>
      </c>
      <c r="N49">
        <f t="shared" si="4"/>
        <v>115</v>
      </c>
      <c r="O49">
        <f t="shared" si="2"/>
        <v>32.947368421052637</v>
      </c>
    </row>
    <row r="50" spans="1:15">
      <c r="A50" t="s">
        <v>140</v>
      </c>
      <c r="B50">
        <v>47</v>
      </c>
      <c r="C50" s="3" t="s">
        <v>102</v>
      </c>
      <c r="D50" t="s">
        <v>27</v>
      </c>
      <c r="E50">
        <v>48</v>
      </c>
      <c r="F50" s="3">
        <v>35</v>
      </c>
      <c r="G50" s="1">
        <v>47</v>
      </c>
      <c r="H50">
        <v>1</v>
      </c>
      <c r="I50">
        <v>2</v>
      </c>
      <c r="J50">
        <v>5</v>
      </c>
      <c r="K50">
        <v>2</v>
      </c>
      <c r="L50">
        <v>1</v>
      </c>
      <c r="M50">
        <f t="shared" si="3"/>
        <v>11</v>
      </c>
      <c r="N50">
        <f t="shared" si="4"/>
        <v>130</v>
      </c>
      <c r="O50">
        <f t="shared" si="2"/>
        <v>24.947368421052634</v>
      </c>
    </row>
    <row r="51" spans="1:15">
      <c r="A51" t="s">
        <v>140</v>
      </c>
      <c r="B51">
        <v>48</v>
      </c>
      <c r="C51" s="3" t="s">
        <v>72</v>
      </c>
      <c r="D51" t="s">
        <v>25</v>
      </c>
      <c r="E51">
        <v>44</v>
      </c>
      <c r="F51">
        <v>49</v>
      </c>
      <c r="G51" s="1">
        <v>39</v>
      </c>
      <c r="H51">
        <v>2</v>
      </c>
      <c r="I51">
        <v>2</v>
      </c>
      <c r="J51">
        <v>1</v>
      </c>
      <c r="K51">
        <v>3</v>
      </c>
      <c r="L51">
        <v>2</v>
      </c>
      <c r="M51">
        <f t="shared" si="3"/>
        <v>10</v>
      </c>
      <c r="N51">
        <f t="shared" si="4"/>
        <v>132</v>
      </c>
      <c r="O51">
        <f t="shared" si="2"/>
        <v>21.578947368421055</v>
      </c>
    </row>
    <row r="52" spans="1:15">
      <c r="A52" t="s">
        <v>140</v>
      </c>
      <c r="B52">
        <v>49</v>
      </c>
      <c r="C52" s="3" t="s">
        <v>71</v>
      </c>
      <c r="D52" t="s">
        <v>19</v>
      </c>
      <c r="E52">
        <v>47</v>
      </c>
      <c r="F52">
        <v>47</v>
      </c>
      <c r="G52" s="1">
        <v>38</v>
      </c>
      <c r="H52">
        <v>1</v>
      </c>
      <c r="I52">
        <v>1</v>
      </c>
      <c r="J52">
        <v>5</v>
      </c>
      <c r="K52">
        <v>1</v>
      </c>
      <c r="L52">
        <v>1</v>
      </c>
      <c r="M52">
        <f t="shared" si="3"/>
        <v>9</v>
      </c>
      <c r="N52">
        <f t="shared" si="4"/>
        <v>132</v>
      </c>
      <c r="O52">
        <f t="shared" si="2"/>
        <v>21.473684210526315</v>
      </c>
    </row>
    <row r="53" spans="1:15">
      <c r="A53" t="s">
        <v>140</v>
      </c>
      <c r="C53" s="3" t="s">
        <v>132</v>
      </c>
      <c r="D53" t="s">
        <v>152</v>
      </c>
      <c r="I53">
        <v>10</v>
      </c>
      <c r="J53">
        <v>10</v>
      </c>
      <c r="K53">
        <v>10</v>
      </c>
    </row>
    <row r="54" spans="1:15">
      <c r="A54" t="s">
        <v>140</v>
      </c>
      <c r="C54" s="3" t="s">
        <v>167</v>
      </c>
      <c r="D54" t="s">
        <v>168</v>
      </c>
      <c r="K54">
        <v>10</v>
      </c>
    </row>
    <row r="55" spans="1:15">
      <c r="A55" t="s">
        <v>140</v>
      </c>
      <c r="C55" s="3" t="s">
        <v>158</v>
      </c>
      <c r="D55" t="s">
        <v>159</v>
      </c>
      <c r="J55">
        <v>10</v>
      </c>
    </row>
    <row r="56" spans="1:15">
      <c r="A56" t="s">
        <v>140</v>
      </c>
      <c r="C56" s="3" t="s">
        <v>131</v>
      </c>
      <c r="D56" t="s">
        <v>153</v>
      </c>
      <c r="J56">
        <v>10</v>
      </c>
    </row>
    <row r="57" spans="1:15">
      <c r="A57" t="s">
        <v>140</v>
      </c>
      <c r="C57" s="3" t="s">
        <v>190</v>
      </c>
      <c r="D57" t="s">
        <v>191</v>
      </c>
      <c r="J57">
        <v>10</v>
      </c>
    </row>
    <row r="58" spans="1:15">
      <c r="A58" t="s">
        <v>140</v>
      </c>
      <c r="C58" s="3" t="s">
        <v>134</v>
      </c>
      <c r="D58" t="s">
        <v>150</v>
      </c>
      <c r="E58">
        <v>100</v>
      </c>
      <c r="G58">
        <v>100</v>
      </c>
      <c r="L58">
        <v>10</v>
      </c>
    </row>
    <row r="59" spans="1:15">
      <c r="A59" t="s">
        <v>140</v>
      </c>
      <c r="C59" s="3" t="s">
        <v>138</v>
      </c>
      <c r="D59" t="s">
        <v>146</v>
      </c>
      <c r="L59">
        <v>10</v>
      </c>
    </row>
    <row r="60" spans="1:15">
      <c r="A60" t="s">
        <v>140</v>
      </c>
      <c r="C60" s="3" t="s">
        <v>139</v>
      </c>
      <c r="D60" t="s">
        <v>188</v>
      </c>
      <c r="E60">
        <v>100</v>
      </c>
      <c r="H60">
        <v>10</v>
      </c>
    </row>
    <row r="61" spans="1:15">
      <c r="A61" t="s">
        <v>140</v>
      </c>
      <c r="C61" s="3" t="s">
        <v>133</v>
      </c>
      <c r="D61" t="s">
        <v>151</v>
      </c>
      <c r="E61">
        <v>100</v>
      </c>
      <c r="F61">
        <v>100</v>
      </c>
    </row>
    <row r="62" spans="1:15">
      <c r="A62" t="s">
        <v>140</v>
      </c>
      <c r="C62" s="3" t="s">
        <v>135</v>
      </c>
      <c r="D62" t="s">
        <v>149</v>
      </c>
      <c r="E62">
        <v>100</v>
      </c>
      <c r="L62">
        <v>10</v>
      </c>
    </row>
    <row r="63" spans="1:15">
      <c r="A63" t="s">
        <v>140</v>
      </c>
      <c r="C63" s="3" t="s">
        <v>189</v>
      </c>
      <c r="D63" t="s">
        <v>192</v>
      </c>
      <c r="G63">
        <v>100</v>
      </c>
      <c r="I63">
        <v>10</v>
      </c>
    </row>
    <row r="64" spans="1:15">
      <c r="A64" t="s">
        <v>140</v>
      </c>
      <c r="C64" s="3" t="s">
        <v>136</v>
      </c>
      <c r="D64" t="s">
        <v>148</v>
      </c>
      <c r="F64">
        <v>100</v>
      </c>
    </row>
    <row r="65" spans="1:11">
      <c r="A65" t="s">
        <v>140</v>
      </c>
      <c r="C65" s="3" t="s">
        <v>137</v>
      </c>
      <c r="D65" t="s">
        <v>147</v>
      </c>
      <c r="I65">
        <v>10</v>
      </c>
    </row>
    <row r="66" spans="1:11">
      <c r="A66" t="s">
        <v>140</v>
      </c>
      <c r="C66" s="3" t="s">
        <v>130</v>
      </c>
      <c r="D66" t="s">
        <v>154</v>
      </c>
      <c r="K66">
        <v>10</v>
      </c>
    </row>
  </sheetData>
  <sortState xmlns:xlrd2="http://schemas.microsoft.com/office/spreadsheetml/2017/richdata2" ref="A2:O67">
    <sortCondition ref="B2:B67"/>
  </sortState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0FC56-5D1C-40A2-8223-8E3737BA6F1F}">
  <dimension ref="A1:BO56"/>
  <sheetViews>
    <sheetView workbookViewId="0">
      <pane ySplit="1" topLeftCell="A2" activePane="bottomLeft" state="frozen"/>
      <selection pane="bottomLeft" activeCell="F19" sqref="F19"/>
    </sheetView>
  </sheetViews>
  <sheetFormatPr defaultRowHeight="13.9"/>
  <cols>
    <col min="1" max="1" width="4.46484375" customWidth="1"/>
    <col min="2" max="3" width="9.6640625" customWidth="1"/>
    <col min="5" max="5" width="8.59765625" customWidth="1"/>
    <col min="9" max="9" width="8.59765625" customWidth="1"/>
    <col min="10" max="10" width="7.3984375" customWidth="1"/>
    <col min="11" max="12" width="7.33203125" customWidth="1"/>
    <col min="13" max="13" width="7.9296875" customWidth="1"/>
    <col min="14" max="14" width="7.59765625" customWidth="1"/>
    <col min="15" max="15" width="8.06640625" customWidth="1"/>
    <col min="16" max="17" width="7.265625" customWidth="1"/>
    <col min="18" max="18" width="7.06640625" customWidth="1"/>
    <col min="19" max="19" width="7.6640625" customWidth="1"/>
  </cols>
  <sheetData>
    <row r="1" spans="1:67">
      <c r="A1" s="17" t="s">
        <v>249</v>
      </c>
      <c r="B1" s="17" t="s">
        <v>322</v>
      </c>
      <c r="C1" s="2" t="s">
        <v>107</v>
      </c>
      <c r="D1" s="2" t="s">
        <v>108</v>
      </c>
      <c r="E1" s="2" t="s">
        <v>109</v>
      </c>
      <c r="F1" s="2" t="s">
        <v>110</v>
      </c>
      <c r="G1" s="2" t="s">
        <v>111</v>
      </c>
      <c r="H1" s="2" t="s">
        <v>112</v>
      </c>
      <c r="I1" s="2" t="s">
        <v>113</v>
      </c>
      <c r="J1" s="2" t="s">
        <v>114</v>
      </c>
      <c r="K1" s="2" t="s">
        <v>115</v>
      </c>
      <c r="L1" s="2" t="s">
        <v>116</v>
      </c>
      <c r="M1" s="2" t="s">
        <v>117</v>
      </c>
      <c r="N1" s="2" t="s">
        <v>118</v>
      </c>
      <c r="O1" s="2" t="s">
        <v>119</v>
      </c>
      <c r="P1" s="2" t="s">
        <v>120</v>
      </c>
      <c r="Q1" s="2" t="s">
        <v>121</v>
      </c>
      <c r="R1" s="2" t="s">
        <v>122</v>
      </c>
      <c r="S1" s="2" t="s">
        <v>123</v>
      </c>
      <c r="T1" s="17" t="s">
        <v>323</v>
      </c>
      <c r="U1" s="17" t="s">
        <v>324</v>
      </c>
      <c r="V1" s="17" t="s">
        <v>325</v>
      </c>
      <c r="W1" s="17" t="s">
        <v>326</v>
      </c>
      <c r="X1" s="17" t="s">
        <v>327</v>
      </c>
      <c r="Y1" s="17" t="s">
        <v>328</v>
      </c>
      <c r="Z1" s="17" t="s">
        <v>109</v>
      </c>
      <c r="AA1" s="17" t="s">
        <v>329</v>
      </c>
      <c r="AB1" s="17" t="s">
        <v>330</v>
      </c>
      <c r="AC1" s="17" t="s">
        <v>331</v>
      </c>
      <c r="AD1" s="17" t="s">
        <v>332</v>
      </c>
      <c r="AE1" s="17" t="s">
        <v>333</v>
      </c>
      <c r="AF1" s="17" t="s">
        <v>334</v>
      </c>
      <c r="AG1" s="17" t="s">
        <v>335</v>
      </c>
      <c r="AH1" s="17" t="s">
        <v>336</v>
      </c>
      <c r="AI1" s="17" t="s">
        <v>337</v>
      </c>
      <c r="AJ1" s="17" t="s">
        <v>338</v>
      </c>
      <c r="AK1" s="17" t="s">
        <v>339</v>
      </c>
      <c r="AL1" s="17" t="s">
        <v>340</v>
      </c>
      <c r="AM1" s="17" t="s">
        <v>341</v>
      </c>
      <c r="AN1" s="17" t="s">
        <v>342</v>
      </c>
      <c r="AO1" s="17" t="s">
        <v>343</v>
      </c>
      <c r="AP1" s="17" t="s">
        <v>344</v>
      </c>
      <c r="AQ1" s="17" t="s">
        <v>345</v>
      </c>
      <c r="AR1" s="17" t="s">
        <v>346</v>
      </c>
      <c r="AS1" s="17" t="s">
        <v>347</v>
      </c>
      <c r="AT1" s="17" t="s">
        <v>348</v>
      </c>
      <c r="AU1" s="17" t="s">
        <v>349</v>
      </c>
      <c r="AV1" s="17" t="s">
        <v>350</v>
      </c>
      <c r="AW1" s="17" t="s">
        <v>351</v>
      </c>
      <c r="AX1" s="17" t="s">
        <v>352</v>
      </c>
      <c r="AY1" s="17" t="s">
        <v>353</v>
      </c>
      <c r="AZ1" s="17" t="s">
        <v>354</v>
      </c>
      <c r="BA1" s="17" t="s">
        <v>355</v>
      </c>
      <c r="BB1" s="17" t="s">
        <v>356</v>
      </c>
      <c r="BC1" s="17" t="s">
        <v>357</v>
      </c>
      <c r="BD1" s="17" t="s">
        <v>358</v>
      </c>
      <c r="BE1" s="17" t="s">
        <v>359</v>
      </c>
      <c r="BF1" s="17" t="s">
        <v>360</v>
      </c>
      <c r="BG1" s="17" t="s">
        <v>361</v>
      </c>
      <c r="BH1" s="17" t="s">
        <v>362</v>
      </c>
      <c r="BI1" s="17" t="s">
        <v>363</v>
      </c>
      <c r="BJ1" s="17" t="s">
        <v>364</v>
      </c>
      <c r="BK1" s="17" t="s">
        <v>365</v>
      </c>
      <c r="BL1" s="17" t="s">
        <v>366</v>
      </c>
      <c r="BM1" s="17" t="s">
        <v>367</v>
      </c>
      <c r="BN1" s="17" t="s">
        <v>368</v>
      </c>
      <c r="BO1" s="17" t="s">
        <v>369</v>
      </c>
    </row>
    <row r="2" spans="1:67">
      <c r="A2">
        <v>2.5</v>
      </c>
      <c r="B2" t="s">
        <v>185</v>
      </c>
      <c r="C2">
        <v>21402710</v>
      </c>
      <c r="D2">
        <v>778186</v>
      </c>
      <c r="E2">
        <v>1109598</v>
      </c>
      <c r="F2">
        <v>376390</v>
      </c>
      <c r="G2">
        <v>6250</v>
      </c>
      <c r="H2">
        <v>42911</v>
      </c>
      <c r="I2">
        <v>290660</v>
      </c>
      <c r="J2">
        <v>172841</v>
      </c>
      <c r="K2">
        <v>380</v>
      </c>
      <c r="M2">
        <v>639219</v>
      </c>
      <c r="N2">
        <v>30579</v>
      </c>
      <c r="O2">
        <v>2037535</v>
      </c>
      <c r="P2">
        <v>15</v>
      </c>
      <c r="Q2">
        <v>330710</v>
      </c>
      <c r="R2">
        <v>2956308</v>
      </c>
      <c r="S2">
        <v>26572990</v>
      </c>
      <c r="T2">
        <v>1057</v>
      </c>
      <c r="U2">
        <v>0</v>
      </c>
      <c r="W2">
        <v>24</v>
      </c>
      <c r="X2">
        <v>1930</v>
      </c>
      <c r="Z2">
        <v>3120607</v>
      </c>
      <c r="AB2">
        <v>1000</v>
      </c>
      <c r="AE2">
        <v>1564</v>
      </c>
      <c r="AH2">
        <v>40</v>
      </c>
      <c r="AJ2">
        <v>6491</v>
      </c>
      <c r="AK2">
        <v>716</v>
      </c>
      <c r="AL2">
        <v>37</v>
      </c>
      <c r="AM2">
        <v>404</v>
      </c>
      <c r="AN2">
        <v>767</v>
      </c>
      <c r="AO2">
        <v>939</v>
      </c>
      <c r="AR2">
        <v>76434</v>
      </c>
      <c r="AS2">
        <v>2895721</v>
      </c>
      <c r="AW2">
        <v>309956</v>
      </c>
      <c r="AX2">
        <v>4192511</v>
      </c>
      <c r="AY2">
        <v>182483</v>
      </c>
      <c r="AZ2">
        <v>6919</v>
      </c>
      <c r="BA2">
        <v>7713211</v>
      </c>
      <c r="BB2">
        <v>2230866</v>
      </c>
      <c r="BC2">
        <v>966646</v>
      </c>
      <c r="BD2">
        <v>36814357</v>
      </c>
      <c r="BE2">
        <v>4548464</v>
      </c>
      <c r="BF2">
        <v>955410</v>
      </c>
      <c r="BG2">
        <v>10000</v>
      </c>
      <c r="BI2">
        <v>37923461</v>
      </c>
      <c r="BJ2">
        <v>12561271</v>
      </c>
      <c r="BK2">
        <v>225226544</v>
      </c>
      <c r="BL2">
        <v>155395</v>
      </c>
      <c r="BM2">
        <v>111577471</v>
      </c>
      <c r="BO2">
        <v>13830683</v>
      </c>
    </row>
    <row r="3" spans="1:67">
      <c r="A3">
        <v>5</v>
      </c>
      <c r="B3" t="s">
        <v>74</v>
      </c>
      <c r="C3">
        <v>589029943</v>
      </c>
      <c r="D3">
        <v>778303</v>
      </c>
      <c r="E3">
        <v>99058376</v>
      </c>
      <c r="G3">
        <v>2920850</v>
      </c>
      <c r="H3">
        <v>149090</v>
      </c>
      <c r="I3">
        <v>536500</v>
      </c>
      <c r="J3">
        <v>472242</v>
      </c>
      <c r="K3">
        <v>204200</v>
      </c>
      <c r="L3">
        <v>20280</v>
      </c>
      <c r="M3">
        <v>1098290</v>
      </c>
      <c r="N3">
        <v>296053</v>
      </c>
      <c r="O3">
        <v>1032993</v>
      </c>
      <c r="P3">
        <v>5512</v>
      </c>
      <c r="Q3">
        <v>520390</v>
      </c>
      <c r="R3">
        <v>5503</v>
      </c>
      <c r="S3">
        <v>4917390</v>
      </c>
      <c r="T3">
        <v>5217</v>
      </c>
      <c r="U3">
        <v>1110</v>
      </c>
      <c r="W3">
        <v>50</v>
      </c>
      <c r="X3">
        <v>420</v>
      </c>
      <c r="Z3">
        <v>1555474</v>
      </c>
      <c r="AA3">
        <v>1860</v>
      </c>
      <c r="AE3">
        <v>900</v>
      </c>
      <c r="AM3">
        <v>9852</v>
      </c>
      <c r="AN3">
        <v>410</v>
      </c>
      <c r="AO3">
        <v>100</v>
      </c>
      <c r="AR3">
        <v>3754</v>
      </c>
      <c r="AS3">
        <v>47551</v>
      </c>
      <c r="AU3">
        <v>0</v>
      </c>
      <c r="AV3">
        <v>0</v>
      </c>
      <c r="AW3">
        <v>262</v>
      </c>
      <c r="AX3">
        <v>54</v>
      </c>
      <c r="BA3">
        <v>115890</v>
      </c>
      <c r="BB3">
        <v>432319</v>
      </c>
      <c r="BC3">
        <v>2669</v>
      </c>
      <c r="BD3">
        <v>12176705</v>
      </c>
      <c r="BE3">
        <v>900000</v>
      </c>
      <c r="BF3">
        <v>129000</v>
      </c>
      <c r="BH3">
        <v>462000</v>
      </c>
      <c r="BI3">
        <v>233043000</v>
      </c>
      <c r="BJ3">
        <v>166738000</v>
      </c>
      <c r="BK3">
        <v>38891000</v>
      </c>
      <c r="BL3">
        <v>160873</v>
      </c>
      <c r="BM3">
        <v>18437420</v>
      </c>
    </row>
    <row r="4" spans="1:67">
      <c r="A4">
        <v>5</v>
      </c>
      <c r="B4" t="s">
        <v>101</v>
      </c>
      <c r="C4">
        <v>273992879</v>
      </c>
      <c r="D4">
        <v>376338</v>
      </c>
      <c r="E4">
        <v>32032491</v>
      </c>
      <c r="F4">
        <v>193532</v>
      </c>
      <c r="G4">
        <v>849783</v>
      </c>
      <c r="H4">
        <v>72398</v>
      </c>
      <c r="I4">
        <v>79220</v>
      </c>
      <c r="J4">
        <v>16237</v>
      </c>
      <c r="K4">
        <v>15193</v>
      </c>
      <c r="L4">
        <v>1280</v>
      </c>
      <c r="M4">
        <v>194030</v>
      </c>
      <c r="N4">
        <v>86900</v>
      </c>
      <c r="O4">
        <v>102640</v>
      </c>
      <c r="P4">
        <v>107</v>
      </c>
      <c r="Q4">
        <v>1776800</v>
      </c>
      <c r="R4">
        <v>363275</v>
      </c>
      <c r="S4">
        <v>5754563</v>
      </c>
      <c r="T4">
        <v>165</v>
      </c>
      <c r="V4">
        <v>109520</v>
      </c>
      <c r="W4">
        <v>380</v>
      </c>
      <c r="X4">
        <v>284</v>
      </c>
      <c r="Y4">
        <v>6508</v>
      </c>
      <c r="Z4">
        <v>1021700</v>
      </c>
      <c r="AC4">
        <v>10</v>
      </c>
      <c r="AE4">
        <v>100</v>
      </c>
      <c r="AM4">
        <v>25121</v>
      </c>
      <c r="AQ4">
        <v>189340</v>
      </c>
      <c r="AR4">
        <v>1795</v>
      </c>
      <c r="AS4">
        <v>200000</v>
      </c>
      <c r="AU4">
        <v>25310</v>
      </c>
      <c r="AV4">
        <v>51390</v>
      </c>
      <c r="AW4">
        <v>16546</v>
      </c>
      <c r="AX4">
        <v>621075</v>
      </c>
      <c r="AY4">
        <v>28365</v>
      </c>
      <c r="AZ4">
        <v>56053</v>
      </c>
      <c r="BA4">
        <v>828394</v>
      </c>
      <c r="BB4">
        <v>1413000</v>
      </c>
      <c r="BD4">
        <v>7000000</v>
      </c>
      <c r="BE4">
        <v>490000</v>
      </c>
      <c r="BF4">
        <v>600000</v>
      </c>
      <c r="BG4">
        <v>52638</v>
      </c>
      <c r="BH4">
        <v>8397</v>
      </c>
      <c r="BI4">
        <v>3163068</v>
      </c>
      <c r="BK4">
        <v>3322196</v>
      </c>
      <c r="BL4">
        <v>24502</v>
      </c>
      <c r="BM4">
        <v>173333000</v>
      </c>
    </row>
    <row r="5" spans="1:67">
      <c r="A5">
        <v>5</v>
      </c>
      <c r="B5" t="s">
        <v>98</v>
      </c>
      <c r="C5">
        <v>53572000</v>
      </c>
      <c r="D5">
        <v>916000</v>
      </c>
      <c r="E5">
        <v>6867700</v>
      </c>
      <c r="F5">
        <v>149120</v>
      </c>
      <c r="G5">
        <v>21800</v>
      </c>
      <c r="H5">
        <v>211300</v>
      </c>
      <c r="I5">
        <v>3990</v>
      </c>
      <c r="J5">
        <v>220000</v>
      </c>
      <c r="K5">
        <v>30</v>
      </c>
      <c r="L5">
        <v>1964</v>
      </c>
      <c r="M5">
        <v>320000</v>
      </c>
      <c r="N5">
        <v>312800</v>
      </c>
      <c r="O5">
        <v>1550000</v>
      </c>
      <c r="P5">
        <v>3196</v>
      </c>
      <c r="Q5">
        <v>5632300</v>
      </c>
      <c r="R5">
        <v>7864000</v>
      </c>
      <c r="S5">
        <v>4800000</v>
      </c>
      <c r="T5">
        <v>8800</v>
      </c>
      <c r="U5">
        <v>1200</v>
      </c>
      <c r="V5">
        <v>505</v>
      </c>
      <c r="W5">
        <v>34</v>
      </c>
      <c r="X5">
        <v>1750</v>
      </c>
      <c r="Y5">
        <v>20000</v>
      </c>
      <c r="Z5">
        <v>4028000</v>
      </c>
      <c r="AA5">
        <v>32475</v>
      </c>
      <c r="AB5">
        <v>500</v>
      </c>
      <c r="AD5">
        <v>0</v>
      </c>
      <c r="AE5">
        <v>902</v>
      </c>
      <c r="AF5">
        <v>6</v>
      </c>
      <c r="AG5">
        <v>5</v>
      </c>
      <c r="AH5">
        <v>6</v>
      </c>
      <c r="AI5">
        <v>30</v>
      </c>
      <c r="AJ5">
        <v>2000</v>
      </c>
      <c r="AK5">
        <v>250</v>
      </c>
      <c r="AL5">
        <v>50</v>
      </c>
      <c r="AM5">
        <v>3570</v>
      </c>
      <c r="AN5">
        <v>83980</v>
      </c>
      <c r="AO5">
        <v>20650</v>
      </c>
      <c r="AP5">
        <v>2180</v>
      </c>
      <c r="AQ5">
        <v>598000</v>
      </c>
      <c r="AR5">
        <v>220000</v>
      </c>
      <c r="AS5">
        <v>537000</v>
      </c>
      <c r="AT5">
        <v>91500</v>
      </c>
      <c r="AU5">
        <v>22390050</v>
      </c>
      <c r="AV5">
        <v>14926700</v>
      </c>
      <c r="AW5">
        <v>200000</v>
      </c>
      <c r="AX5">
        <v>400000</v>
      </c>
      <c r="AY5">
        <v>56000</v>
      </c>
      <c r="AZ5">
        <v>14500</v>
      </c>
      <c r="BA5">
        <v>5100000</v>
      </c>
      <c r="BB5">
        <v>1058400</v>
      </c>
      <c r="BC5">
        <v>65000</v>
      </c>
      <c r="BD5">
        <v>7658000</v>
      </c>
      <c r="BE5">
        <v>5960000</v>
      </c>
      <c r="BF5">
        <v>0</v>
      </c>
      <c r="BG5">
        <v>35607</v>
      </c>
      <c r="BH5">
        <v>6000</v>
      </c>
      <c r="BI5">
        <v>232000000</v>
      </c>
      <c r="BJ5">
        <v>106000000</v>
      </c>
      <c r="BK5">
        <v>92000000</v>
      </c>
      <c r="BL5">
        <v>616200</v>
      </c>
      <c r="BM5">
        <v>530600000</v>
      </c>
    </row>
    <row r="6" spans="1:67">
      <c r="A6">
        <v>5</v>
      </c>
      <c r="B6" t="s">
        <v>85</v>
      </c>
      <c r="C6">
        <v>40440200</v>
      </c>
      <c r="D6">
        <v>50023</v>
      </c>
      <c r="F6">
        <v>7968350</v>
      </c>
      <c r="G6">
        <v>7058600</v>
      </c>
      <c r="H6">
        <v>29750</v>
      </c>
      <c r="I6">
        <v>1010000</v>
      </c>
      <c r="J6">
        <v>40271</v>
      </c>
      <c r="M6">
        <v>197630</v>
      </c>
      <c r="N6">
        <v>96626</v>
      </c>
      <c r="O6">
        <v>41929</v>
      </c>
      <c r="P6">
        <v>275</v>
      </c>
      <c r="Q6">
        <v>628000</v>
      </c>
      <c r="S6">
        <v>226749</v>
      </c>
      <c r="T6">
        <v>378</v>
      </c>
      <c r="Y6">
        <v>8667</v>
      </c>
      <c r="Z6">
        <v>716000</v>
      </c>
      <c r="AN6">
        <v>74918</v>
      </c>
      <c r="AO6">
        <v>124870</v>
      </c>
      <c r="AP6">
        <v>18549</v>
      </c>
      <c r="AS6">
        <v>77598</v>
      </c>
      <c r="AU6">
        <v>2437800</v>
      </c>
      <c r="AV6">
        <v>3466200</v>
      </c>
      <c r="AX6">
        <v>142820</v>
      </c>
      <c r="AY6">
        <v>452000</v>
      </c>
      <c r="BA6">
        <v>8690</v>
      </c>
      <c r="BB6">
        <v>6000</v>
      </c>
      <c r="BC6">
        <v>1000</v>
      </c>
      <c r="BD6">
        <v>615889</v>
      </c>
      <c r="BE6">
        <v>63695</v>
      </c>
      <c r="BF6">
        <v>319775</v>
      </c>
      <c r="BG6">
        <v>169797</v>
      </c>
      <c r="BH6">
        <v>289479</v>
      </c>
      <c r="BI6">
        <v>228731000</v>
      </c>
      <c r="BJ6">
        <v>2880342</v>
      </c>
      <c r="BL6">
        <v>5</v>
      </c>
      <c r="BM6">
        <v>1044</v>
      </c>
    </row>
    <row r="7" spans="1:67">
      <c r="A7">
        <v>4</v>
      </c>
      <c r="B7" t="s">
        <v>81</v>
      </c>
      <c r="C7">
        <v>39751000</v>
      </c>
      <c r="D7">
        <v>484552</v>
      </c>
      <c r="H7">
        <v>127237</v>
      </c>
      <c r="I7">
        <v>470000</v>
      </c>
      <c r="J7">
        <v>2000</v>
      </c>
      <c r="K7">
        <v>5436</v>
      </c>
      <c r="M7">
        <v>109507</v>
      </c>
      <c r="N7">
        <v>191035</v>
      </c>
      <c r="O7">
        <v>240523</v>
      </c>
      <c r="P7">
        <v>16372</v>
      </c>
      <c r="R7">
        <v>14043046</v>
      </c>
      <c r="S7">
        <v>3479599</v>
      </c>
      <c r="T7">
        <v>3260</v>
      </c>
      <c r="U7">
        <v>1171</v>
      </c>
      <c r="V7">
        <v>6700</v>
      </c>
      <c r="Z7">
        <v>3274901</v>
      </c>
      <c r="AA7">
        <v>0</v>
      </c>
      <c r="AD7">
        <v>0</v>
      </c>
      <c r="AE7">
        <v>1800</v>
      </c>
      <c r="AH7">
        <v>40</v>
      </c>
      <c r="AK7">
        <v>130</v>
      </c>
      <c r="AL7">
        <v>27</v>
      </c>
      <c r="AN7">
        <v>17267</v>
      </c>
      <c r="AO7">
        <v>6120</v>
      </c>
      <c r="AP7">
        <v>334</v>
      </c>
      <c r="AR7">
        <v>50000</v>
      </c>
      <c r="AU7">
        <v>15674351</v>
      </c>
      <c r="AY7">
        <v>0</v>
      </c>
      <c r="AZ7">
        <v>4261</v>
      </c>
      <c r="BB7">
        <v>230000</v>
      </c>
      <c r="BD7">
        <v>11720185</v>
      </c>
      <c r="BE7">
        <v>4981400</v>
      </c>
      <c r="BF7">
        <v>200000</v>
      </c>
      <c r="BI7">
        <v>9249320</v>
      </c>
      <c r="BJ7">
        <v>30897530</v>
      </c>
      <c r="BK7">
        <v>6658000</v>
      </c>
      <c r="BL7">
        <v>191252</v>
      </c>
      <c r="BM7">
        <v>277851300</v>
      </c>
      <c r="BN7">
        <v>173858800</v>
      </c>
    </row>
    <row r="8" spans="1:67">
      <c r="A8">
        <v>4</v>
      </c>
      <c r="B8" t="s">
        <v>106</v>
      </c>
      <c r="C8">
        <v>190937600</v>
      </c>
      <c r="D8">
        <v>1830000</v>
      </c>
      <c r="E8">
        <v>65516300</v>
      </c>
      <c r="F8">
        <v>54220</v>
      </c>
      <c r="G8">
        <v>852000</v>
      </c>
      <c r="H8">
        <v>110400</v>
      </c>
      <c r="I8">
        <v>3247000</v>
      </c>
      <c r="J8">
        <v>1960000</v>
      </c>
      <c r="K8">
        <v>106300</v>
      </c>
      <c r="L8">
        <v>255000</v>
      </c>
      <c r="M8">
        <v>4130000</v>
      </c>
      <c r="N8">
        <v>375155</v>
      </c>
      <c r="O8">
        <v>3399600</v>
      </c>
      <c r="P8">
        <v>2005</v>
      </c>
      <c r="Q8">
        <v>31592700</v>
      </c>
      <c r="R8">
        <v>5470400</v>
      </c>
      <c r="S8">
        <v>59360800</v>
      </c>
      <c r="T8">
        <v>2300</v>
      </c>
      <c r="U8">
        <v>121500</v>
      </c>
      <c r="V8">
        <v>43</v>
      </c>
      <c r="W8">
        <v>96</v>
      </c>
      <c r="X8">
        <v>65980</v>
      </c>
      <c r="Y8">
        <v>81600</v>
      </c>
      <c r="Z8">
        <v>41979700</v>
      </c>
      <c r="AA8">
        <v>41000</v>
      </c>
      <c r="AB8">
        <v>24000</v>
      </c>
      <c r="AC8">
        <v>1925</v>
      </c>
      <c r="AD8">
        <v>8000</v>
      </c>
      <c r="AE8">
        <v>9000</v>
      </c>
      <c r="AF8">
        <v>701</v>
      </c>
      <c r="AG8">
        <v>154</v>
      </c>
      <c r="AH8">
        <v>646</v>
      </c>
      <c r="AI8">
        <v>700</v>
      </c>
      <c r="AJ8">
        <v>2650</v>
      </c>
      <c r="AK8">
        <v>1400</v>
      </c>
      <c r="AL8">
        <v>500</v>
      </c>
      <c r="AM8">
        <v>68000</v>
      </c>
      <c r="AN8">
        <v>2000</v>
      </c>
      <c r="AO8">
        <v>3000</v>
      </c>
      <c r="AQ8">
        <v>196000</v>
      </c>
      <c r="AR8">
        <v>2000000</v>
      </c>
      <c r="AS8">
        <v>2100000</v>
      </c>
      <c r="AT8">
        <v>360300</v>
      </c>
      <c r="AU8">
        <v>0</v>
      </c>
      <c r="AW8">
        <v>370000</v>
      </c>
      <c r="AX8">
        <v>2500000</v>
      </c>
      <c r="AY8">
        <v>5700000</v>
      </c>
      <c r="AZ8">
        <v>1208000</v>
      </c>
      <c r="BA8">
        <v>8292000</v>
      </c>
      <c r="BB8">
        <v>15000000</v>
      </c>
      <c r="BD8">
        <v>52685800</v>
      </c>
      <c r="BE8">
        <v>18500000</v>
      </c>
      <c r="BF8">
        <v>1400000</v>
      </c>
      <c r="BG8">
        <v>35000</v>
      </c>
      <c r="BH8">
        <v>100000</v>
      </c>
      <c r="BI8">
        <v>3821084000</v>
      </c>
      <c r="BJ8">
        <v>540986400</v>
      </c>
      <c r="BL8">
        <v>232430</v>
      </c>
      <c r="BM8">
        <v>209026100</v>
      </c>
    </row>
    <row r="9" spans="1:67">
      <c r="A9">
        <v>4</v>
      </c>
      <c r="B9" t="s">
        <v>105</v>
      </c>
      <c r="C9">
        <v>170340800</v>
      </c>
      <c r="D9">
        <v>25717</v>
      </c>
      <c r="E9">
        <v>23360795</v>
      </c>
      <c r="F9">
        <v>1511800</v>
      </c>
      <c r="G9">
        <v>1035700</v>
      </c>
      <c r="I9">
        <v>150000</v>
      </c>
      <c r="J9">
        <v>226400</v>
      </c>
      <c r="L9">
        <v>2600</v>
      </c>
      <c r="M9">
        <v>853400</v>
      </c>
      <c r="N9">
        <v>1428</v>
      </c>
      <c r="O9">
        <v>738664</v>
      </c>
      <c r="P9">
        <v>708</v>
      </c>
      <c r="Q9">
        <v>383400</v>
      </c>
      <c r="S9">
        <v>4000000</v>
      </c>
      <c r="Y9">
        <v>50</v>
      </c>
      <c r="Z9">
        <v>4126500</v>
      </c>
      <c r="AK9">
        <v>20</v>
      </c>
      <c r="AM9">
        <v>23</v>
      </c>
      <c r="AR9">
        <v>2400000</v>
      </c>
      <c r="AS9">
        <v>3500000</v>
      </c>
      <c r="AU9">
        <v>0</v>
      </c>
      <c r="AV9">
        <v>55</v>
      </c>
      <c r="AX9">
        <v>6000000</v>
      </c>
      <c r="AY9">
        <v>6296</v>
      </c>
      <c r="AZ9">
        <v>128947</v>
      </c>
      <c r="BA9">
        <v>8400000</v>
      </c>
      <c r="BB9">
        <v>123207</v>
      </c>
      <c r="BD9">
        <v>34000000</v>
      </c>
      <c r="BE9">
        <v>3881000</v>
      </c>
      <c r="BF9">
        <v>1450000</v>
      </c>
      <c r="BG9">
        <v>1537</v>
      </c>
      <c r="BH9">
        <v>15000</v>
      </c>
      <c r="BI9">
        <v>931005000</v>
      </c>
      <c r="BJ9">
        <v>66821000</v>
      </c>
      <c r="BK9">
        <v>42257000</v>
      </c>
      <c r="BL9">
        <v>35081</v>
      </c>
      <c r="BM9">
        <v>29117000</v>
      </c>
    </row>
    <row r="10" spans="1:67">
      <c r="A10">
        <v>4</v>
      </c>
      <c r="B10" t="s">
        <v>86</v>
      </c>
      <c r="C10">
        <v>37544000</v>
      </c>
      <c r="D10">
        <v>315280</v>
      </c>
      <c r="E10">
        <v>871073</v>
      </c>
      <c r="F10">
        <v>85420</v>
      </c>
      <c r="G10">
        <v>90260</v>
      </c>
      <c r="I10">
        <v>20100</v>
      </c>
      <c r="J10">
        <v>103100</v>
      </c>
      <c r="M10">
        <v>215900</v>
      </c>
      <c r="N10">
        <v>8674</v>
      </c>
      <c r="O10">
        <v>87100</v>
      </c>
      <c r="Q10">
        <v>80790</v>
      </c>
      <c r="R10">
        <v>50000</v>
      </c>
      <c r="S10">
        <v>18895228</v>
      </c>
      <c r="U10">
        <v>7900</v>
      </c>
      <c r="Z10">
        <v>614972</v>
      </c>
      <c r="AA10">
        <v>1555</v>
      </c>
      <c r="AR10">
        <v>389429</v>
      </c>
      <c r="AS10">
        <v>1960421</v>
      </c>
      <c r="AT10">
        <v>13250</v>
      </c>
      <c r="AW10">
        <v>1800</v>
      </c>
      <c r="AX10">
        <v>3860951</v>
      </c>
      <c r="AY10">
        <v>39321</v>
      </c>
      <c r="BA10">
        <v>3026428</v>
      </c>
      <c r="BB10">
        <v>218152</v>
      </c>
      <c r="BC10">
        <v>69670</v>
      </c>
      <c r="BD10">
        <v>4177958</v>
      </c>
      <c r="BE10">
        <v>864275</v>
      </c>
      <c r="BF10">
        <v>132673</v>
      </c>
      <c r="BI10">
        <v>386400</v>
      </c>
      <c r="BJ10">
        <v>1155650</v>
      </c>
      <c r="BL10">
        <v>266250</v>
      </c>
      <c r="BM10">
        <v>214298210</v>
      </c>
    </row>
    <row r="11" spans="1:67">
      <c r="A11">
        <v>4</v>
      </c>
      <c r="B11" t="s">
        <v>96</v>
      </c>
      <c r="C11">
        <v>14183500</v>
      </c>
      <c r="D11">
        <v>778839</v>
      </c>
      <c r="G11">
        <v>225211</v>
      </c>
      <c r="J11">
        <v>373609</v>
      </c>
      <c r="M11">
        <v>744285</v>
      </c>
      <c r="N11">
        <v>131842</v>
      </c>
      <c r="O11">
        <v>7277840</v>
      </c>
      <c r="Q11">
        <v>125700</v>
      </c>
      <c r="S11">
        <v>9786105</v>
      </c>
      <c r="U11">
        <v>28313</v>
      </c>
      <c r="X11">
        <v>50</v>
      </c>
      <c r="AA11">
        <v>576</v>
      </c>
      <c r="AD11">
        <v>0</v>
      </c>
      <c r="AE11">
        <v>1021</v>
      </c>
      <c r="AI11">
        <v>10</v>
      </c>
      <c r="AK11">
        <v>139</v>
      </c>
      <c r="AR11">
        <v>482302</v>
      </c>
      <c r="AS11">
        <v>0</v>
      </c>
      <c r="AW11">
        <v>102906</v>
      </c>
      <c r="AX11">
        <v>383444</v>
      </c>
      <c r="AY11">
        <v>1162591</v>
      </c>
      <c r="AZ11">
        <v>3124</v>
      </c>
      <c r="BA11">
        <v>159570</v>
      </c>
      <c r="BC11">
        <v>0</v>
      </c>
      <c r="BD11">
        <v>7686773</v>
      </c>
      <c r="BE11">
        <v>216900</v>
      </c>
      <c r="BF11">
        <v>20534</v>
      </c>
      <c r="BG11">
        <v>76</v>
      </c>
      <c r="BI11">
        <v>531904</v>
      </c>
      <c r="BJ11">
        <v>1000000</v>
      </c>
      <c r="BL11">
        <v>27210</v>
      </c>
      <c r="BM11">
        <v>100526200</v>
      </c>
    </row>
    <row r="12" spans="1:67">
      <c r="A12">
        <v>4</v>
      </c>
      <c r="B12" t="s">
        <v>91</v>
      </c>
      <c r="C12">
        <v>10227200</v>
      </c>
      <c r="D12">
        <v>127000</v>
      </c>
      <c r="E12">
        <v>2934790</v>
      </c>
      <c r="F12">
        <v>1152200</v>
      </c>
      <c r="G12">
        <v>35700</v>
      </c>
      <c r="H12">
        <v>18390</v>
      </c>
      <c r="I12">
        <v>0</v>
      </c>
      <c r="J12">
        <v>69230</v>
      </c>
      <c r="M12">
        <v>187700</v>
      </c>
      <c r="N12">
        <v>36250</v>
      </c>
      <c r="O12">
        <v>96130</v>
      </c>
      <c r="Q12">
        <v>381400</v>
      </c>
      <c r="S12">
        <v>10336796</v>
      </c>
      <c r="T12">
        <v>400</v>
      </c>
      <c r="Z12">
        <v>82000</v>
      </c>
      <c r="AA12">
        <v>3816</v>
      </c>
      <c r="AR12">
        <v>215946</v>
      </c>
      <c r="AS12">
        <v>2494366</v>
      </c>
      <c r="AT12">
        <v>1920000</v>
      </c>
      <c r="AW12">
        <v>154444</v>
      </c>
      <c r="AX12">
        <v>9478458</v>
      </c>
      <c r="AY12">
        <v>32407</v>
      </c>
      <c r="AZ12">
        <v>27974</v>
      </c>
      <c r="BA12">
        <v>1348023</v>
      </c>
      <c r="BB12">
        <v>1333728</v>
      </c>
      <c r="BC12">
        <v>1174125</v>
      </c>
      <c r="BD12">
        <v>8587332</v>
      </c>
      <c r="BE12">
        <v>140800</v>
      </c>
      <c r="BF12">
        <v>232927</v>
      </c>
      <c r="BG12">
        <v>10500</v>
      </c>
      <c r="BI12">
        <v>2448755</v>
      </c>
      <c r="BJ12">
        <v>470145</v>
      </c>
      <c r="BK12">
        <v>75613340</v>
      </c>
      <c r="BL12">
        <v>852</v>
      </c>
      <c r="BM12">
        <v>4094898</v>
      </c>
    </row>
    <row r="13" spans="1:67">
      <c r="A13">
        <v>4</v>
      </c>
      <c r="B13" t="s">
        <v>95</v>
      </c>
      <c r="C13">
        <v>876700</v>
      </c>
      <c r="D13">
        <v>29040</v>
      </c>
      <c r="E13">
        <v>3800000</v>
      </c>
      <c r="G13">
        <v>150000</v>
      </c>
      <c r="H13">
        <v>2100</v>
      </c>
      <c r="I13">
        <v>114500</v>
      </c>
      <c r="J13">
        <v>15870</v>
      </c>
      <c r="L13">
        <v>1100</v>
      </c>
      <c r="M13">
        <v>20970</v>
      </c>
      <c r="N13">
        <v>962</v>
      </c>
      <c r="O13">
        <v>1744</v>
      </c>
      <c r="Q13">
        <v>895020</v>
      </c>
      <c r="X13">
        <v>7900</v>
      </c>
      <c r="AA13">
        <v>394</v>
      </c>
      <c r="AD13">
        <v>1148</v>
      </c>
      <c r="AM13">
        <v>9079</v>
      </c>
      <c r="AR13">
        <v>48500</v>
      </c>
      <c r="AY13">
        <v>146007</v>
      </c>
      <c r="AZ13">
        <v>1100</v>
      </c>
      <c r="BA13">
        <v>50000</v>
      </c>
      <c r="BD13">
        <v>648700</v>
      </c>
      <c r="BH13">
        <v>16750</v>
      </c>
      <c r="BI13">
        <v>47258700</v>
      </c>
      <c r="BL13">
        <v>7468</v>
      </c>
      <c r="BM13">
        <v>8628000</v>
      </c>
    </row>
    <row r="14" spans="1:67">
      <c r="A14">
        <v>3</v>
      </c>
      <c r="B14" t="s">
        <v>69</v>
      </c>
      <c r="C14">
        <v>11443370</v>
      </c>
      <c r="D14">
        <v>5250400</v>
      </c>
      <c r="J14">
        <v>325</v>
      </c>
      <c r="K14">
        <v>113200</v>
      </c>
      <c r="M14">
        <v>22059</v>
      </c>
      <c r="N14">
        <v>35790</v>
      </c>
      <c r="O14">
        <v>1262287</v>
      </c>
      <c r="Q14">
        <v>2740</v>
      </c>
      <c r="R14">
        <v>743930</v>
      </c>
      <c r="S14">
        <v>832770</v>
      </c>
      <c r="U14">
        <v>44118</v>
      </c>
      <c r="AJ14">
        <v>50754</v>
      </c>
      <c r="AK14">
        <v>103</v>
      </c>
      <c r="AS14">
        <v>463</v>
      </c>
      <c r="AT14">
        <v>450239</v>
      </c>
      <c r="AW14">
        <v>17319</v>
      </c>
      <c r="AX14">
        <v>28</v>
      </c>
      <c r="BA14">
        <v>51300</v>
      </c>
      <c r="BC14">
        <v>1997</v>
      </c>
      <c r="BD14">
        <v>10721181</v>
      </c>
      <c r="BE14">
        <v>1594200</v>
      </c>
      <c r="BI14">
        <v>121570</v>
      </c>
      <c r="BL14">
        <v>1380</v>
      </c>
      <c r="BM14">
        <v>121790</v>
      </c>
    </row>
    <row r="15" spans="1:67">
      <c r="A15">
        <v>3</v>
      </c>
      <c r="B15" t="s">
        <v>84</v>
      </c>
      <c r="C15">
        <v>293730</v>
      </c>
      <c r="D15">
        <v>6007</v>
      </c>
      <c r="E15">
        <v>2779</v>
      </c>
      <c r="G15">
        <v>150</v>
      </c>
      <c r="H15">
        <v>43030</v>
      </c>
      <c r="N15">
        <v>61300</v>
      </c>
      <c r="O15">
        <v>51699</v>
      </c>
      <c r="Q15">
        <v>11760</v>
      </c>
      <c r="S15">
        <v>389107</v>
      </c>
      <c r="AM15">
        <v>0</v>
      </c>
      <c r="AO15">
        <v>893</v>
      </c>
      <c r="AR15">
        <v>1376</v>
      </c>
      <c r="AS15">
        <v>31263</v>
      </c>
      <c r="AX15">
        <v>73675</v>
      </c>
      <c r="AZ15">
        <v>0</v>
      </c>
      <c r="BA15">
        <v>143533</v>
      </c>
      <c r="BB15">
        <v>2540</v>
      </c>
      <c r="BD15">
        <v>374873</v>
      </c>
      <c r="BE15">
        <v>32000</v>
      </c>
      <c r="BF15">
        <v>1690</v>
      </c>
      <c r="BI15">
        <v>59627100</v>
      </c>
      <c r="BJ15">
        <v>8930440</v>
      </c>
      <c r="BL15">
        <v>11740</v>
      </c>
      <c r="BM15">
        <v>38794920</v>
      </c>
    </row>
    <row r="16" spans="1:67">
      <c r="A16">
        <v>3</v>
      </c>
      <c r="B16" t="s">
        <v>103</v>
      </c>
      <c r="C16">
        <v>800000</v>
      </c>
      <c r="D16">
        <v>907210</v>
      </c>
      <c r="E16">
        <v>9889569</v>
      </c>
      <c r="G16">
        <v>0</v>
      </c>
      <c r="H16">
        <v>2028800</v>
      </c>
      <c r="J16">
        <v>6415</v>
      </c>
      <c r="M16">
        <v>10410</v>
      </c>
      <c r="N16">
        <v>94610</v>
      </c>
      <c r="O16">
        <v>281060</v>
      </c>
      <c r="T16">
        <v>18200</v>
      </c>
      <c r="Z16">
        <v>214930</v>
      </c>
      <c r="AM16">
        <v>50669</v>
      </c>
      <c r="AX16">
        <v>445800</v>
      </c>
      <c r="BA16">
        <v>1609600</v>
      </c>
      <c r="BD16">
        <v>2214766</v>
      </c>
      <c r="BE16">
        <v>500000</v>
      </c>
      <c r="BH16">
        <v>95300</v>
      </c>
      <c r="BI16">
        <v>769103900</v>
      </c>
      <c r="BJ16">
        <v>6078000</v>
      </c>
      <c r="BL16">
        <v>68530</v>
      </c>
      <c r="BM16">
        <v>30156500</v>
      </c>
    </row>
    <row r="17" spans="1:67">
      <c r="A17">
        <v>3</v>
      </c>
      <c r="B17" t="s">
        <v>78</v>
      </c>
      <c r="C17">
        <v>3046990</v>
      </c>
      <c r="E17">
        <v>576770</v>
      </c>
      <c r="G17">
        <v>151000</v>
      </c>
      <c r="I17">
        <v>15600</v>
      </c>
      <c r="J17">
        <v>1950</v>
      </c>
      <c r="L17">
        <v>300</v>
      </c>
      <c r="M17">
        <v>1981</v>
      </c>
      <c r="N17">
        <v>1584</v>
      </c>
      <c r="O17">
        <v>6726</v>
      </c>
      <c r="W17">
        <v>4</v>
      </c>
      <c r="Z17">
        <v>950000</v>
      </c>
      <c r="AM17">
        <v>3767</v>
      </c>
      <c r="AX17">
        <v>220000</v>
      </c>
      <c r="BA17">
        <v>290366</v>
      </c>
      <c r="BH17">
        <v>800</v>
      </c>
      <c r="BI17">
        <v>4052344</v>
      </c>
      <c r="BL17">
        <v>72140</v>
      </c>
      <c r="BM17">
        <v>25752770</v>
      </c>
    </row>
    <row r="18" spans="1:67">
      <c r="A18">
        <v>3</v>
      </c>
      <c r="B18" t="s">
        <v>72</v>
      </c>
      <c r="C18">
        <v>5220</v>
      </c>
      <c r="D18">
        <v>31590</v>
      </c>
      <c r="G18">
        <v>41850</v>
      </c>
      <c r="H18">
        <v>130</v>
      </c>
      <c r="J18">
        <v>26310</v>
      </c>
      <c r="M18">
        <v>36320</v>
      </c>
      <c r="N18">
        <v>104</v>
      </c>
      <c r="O18">
        <v>231700</v>
      </c>
      <c r="Q18">
        <v>9158800</v>
      </c>
      <c r="S18">
        <v>116471</v>
      </c>
      <c r="T18">
        <v>1506</v>
      </c>
      <c r="AB18">
        <v>7700</v>
      </c>
      <c r="AI18">
        <v>2</v>
      </c>
      <c r="AR18">
        <v>931332</v>
      </c>
      <c r="AS18">
        <v>89274</v>
      </c>
      <c r="AX18">
        <v>773761</v>
      </c>
      <c r="AY18">
        <v>101369</v>
      </c>
      <c r="BD18">
        <v>559149</v>
      </c>
      <c r="BL18">
        <v>51</v>
      </c>
      <c r="BM18">
        <v>2102</v>
      </c>
    </row>
    <row r="19" spans="1:67">
      <c r="A19">
        <v>3</v>
      </c>
      <c r="B19" t="s">
        <v>76</v>
      </c>
      <c r="C19">
        <v>1733600</v>
      </c>
      <c r="D19">
        <v>2000</v>
      </c>
      <c r="J19">
        <v>25000</v>
      </c>
      <c r="M19">
        <v>28000</v>
      </c>
      <c r="N19">
        <v>10000</v>
      </c>
      <c r="O19">
        <v>50000</v>
      </c>
      <c r="U19">
        <v>350</v>
      </c>
      <c r="X19">
        <v>1600</v>
      </c>
      <c r="AE19">
        <v>150</v>
      </c>
      <c r="AR19">
        <v>4000</v>
      </c>
      <c r="AY19">
        <v>6000</v>
      </c>
      <c r="AZ19">
        <v>20000</v>
      </c>
      <c r="BB19">
        <v>80000</v>
      </c>
      <c r="BD19">
        <v>100000</v>
      </c>
      <c r="BE19">
        <v>10000</v>
      </c>
      <c r="BI19">
        <v>17100000</v>
      </c>
    </row>
    <row r="20" spans="1:67">
      <c r="A20">
        <v>3</v>
      </c>
      <c r="B20" t="s">
        <v>100</v>
      </c>
      <c r="C20">
        <v>143250</v>
      </c>
      <c r="D20">
        <v>17042</v>
      </c>
      <c r="E20">
        <v>60000</v>
      </c>
      <c r="F20">
        <v>62250</v>
      </c>
      <c r="G20">
        <v>210</v>
      </c>
      <c r="J20">
        <v>7838</v>
      </c>
      <c r="M20">
        <v>41295</v>
      </c>
      <c r="P20">
        <v>53</v>
      </c>
      <c r="Q20">
        <v>27000</v>
      </c>
      <c r="S20">
        <v>1639730</v>
      </c>
      <c r="AA20">
        <v>40</v>
      </c>
      <c r="AR20">
        <v>140970</v>
      </c>
      <c r="AS20">
        <v>45000</v>
      </c>
      <c r="AX20">
        <v>415000</v>
      </c>
      <c r="AY20">
        <v>9200</v>
      </c>
      <c r="BA20">
        <v>14130</v>
      </c>
      <c r="BB20">
        <v>4954</v>
      </c>
      <c r="BD20">
        <v>3107500</v>
      </c>
      <c r="BE20">
        <v>11692</v>
      </c>
      <c r="BF20">
        <v>164200</v>
      </c>
      <c r="BI20">
        <v>15069760</v>
      </c>
      <c r="BL20">
        <v>33683</v>
      </c>
      <c r="BM20">
        <v>3459800</v>
      </c>
    </row>
    <row r="21" spans="1:67">
      <c r="A21">
        <v>3</v>
      </c>
      <c r="B21" t="s">
        <v>94</v>
      </c>
      <c r="C21">
        <v>84700</v>
      </c>
      <c r="D21">
        <v>61981</v>
      </c>
      <c r="F21">
        <v>40780</v>
      </c>
      <c r="H21">
        <v>389000</v>
      </c>
      <c r="N21">
        <v>31046</v>
      </c>
      <c r="O21">
        <v>46160</v>
      </c>
      <c r="Q21">
        <v>570</v>
      </c>
      <c r="T21">
        <v>3300</v>
      </c>
      <c r="AK21">
        <v>300</v>
      </c>
      <c r="AS21">
        <v>26556</v>
      </c>
      <c r="AX21">
        <v>47000</v>
      </c>
      <c r="BA21">
        <v>21780</v>
      </c>
      <c r="BB21">
        <v>0</v>
      </c>
      <c r="BC21">
        <v>18384</v>
      </c>
      <c r="BD21">
        <v>100000</v>
      </c>
      <c r="BE21">
        <v>100000</v>
      </c>
      <c r="BI21">
        <v>16560000</v>
      </c>
      <c r="BL21">
        <v>2526</v>
      </c>
      <c r="BM21">
        <v>328100</v>
      </c>
    </row>
    <row r="22" spans="1:67">
      <c r="A22">
        <v>3</v>
      </c>
      <c r="B22" t="s">
        <v>77</v>
      </c>
      <c r="D22">
        <v>395400</v>
      </c>
      <c r="H22">
        <v>750</v>
      </c>
      <c r="J22">
        <v>29510</v>
      </c>
      <c r="M22">
        <v>0</v>
      </c>
      <c r="N22">
        <v>442</v>
      </c>
      <c r="O22">
        <v>1319900</v>
      </c>
      <c r="S22">
        <v>892000</v>
      </c>
      <c r="AE22">
        <v>0</v>
      </c>
      <c r="AJ22">
        <v>6491</v>
      </c>
      <c r="AK22">
        <v>74</v>
      </c>
      <c r="AN22">
        <v>5</v>
      </c>
      <c r="AO22">
        <v>6</v>
      </c>
      <c r="AS22">
        <v>1110</v>
      </c>
      <c r="AW22">
        <v>1620</v>
      </c>
      <c r="AX22">
        <v>46930</v>
      </c>
      <c r="BA22">
        <v>276120</v>
      </c>
      <c r="BB22">
        <v>28630</v>
      </c>
      <c r="BD22">
        <v>3275000</v>
      </c>
      <c r="BE22">
        <v>946350</v>
      </c>
      <c r="BI22">
        <v>36428460</v>
      </c>
      <c r="BJ22">
        <v>11924180</v>
      </c>
      <c r="BK22">
        <v>40100590</v>
      </c>
      <c r="BL22">
        <v>4600</v>
      </c>
      <c r="BM22">
        <v>793880</v>
      </c>
    </row>
    <row r="23" spans="1:67">
      <c r="A23">
        <v>3</v>
      </c>
      <c r="B23" t="s">
        <v>75</v>
      </c>
      <c r="C23">
        <v>350000</v>
      </c>
      <c r="D23">
        <v>70090</v>
      </c>
      <c r="E23">
        <v>5900000</v>
      </c>
      <c r="M23">
        <v>23510</v>
      </c>
      <c r="N23">
        <v>13476</v>
      </c>
      <c r="O23">
        <v>9000</v>
      </c>
      <c r="Q23">
        <v>3250000</v>
      </c>
      <c r="S23">
        <v>3800000</v>
      </c>
      <c r="Z23">
        <v>701357</v>
      </c>
      <c r="AX23">
        <v>650000</v>
      </c>
      <c r="BA23">
        <v>280000</v>
      </c>
      <c r="BB23">
        <v>90000</v>
      </c>
      <c r="BD23">
        <v>2400000</v>
      </c>
      <c r="BE23">
        <v>7000000</v>
      </c>
      <c r="BF23">
        <v>180000</v>
      </c>
      <c r="BL23">
        <v>123531</v>
      </c>
      <c r="BM23">
        <v>531963600</v>
      </c>
    </row>
    <row r="24" spans="1:67">
      <c r="A24">
        <v>3</v>
      </c>
      <c r="B24" t="s">
        <v>67</v>
      </c>
      <c r="C24">
        <v>19126500</v>
      </c>
      <c r="D24">
        <v>73780</v>
      </c>
      <c r="J24">
        <v>65570</v>
      </c>
      <c r="M24">
        <v>217596</v>
      </c>
      <c r="N24">
        <v>7358</v>
      </c>
      <c r="O24">
        <v>404055</v>
      </c>
      <c r="Z24">
        <v>119000</v>
      </c>
      <c r="AK24">
        <v>20</v>
      </c>
      <c r="AL24">
        <v>36</v>
      </c>
      <c r="AX24">
        <v>25000</v>
      </c>
      <c r="BE24">
        <v>385000</v>
      </c>
    </row>
    <row r="25" spans="1:67">
      <c r="A25">
        <v>3</v>
      </c>
      <c r="B25" t="s">
        <v>79</v>
      </c>
      <c r="C25">
        <v>19495000</v>
      </c>
      <c r="G25">
        <v>186500</v>
      </c>
      <c r="I25">
        <v>147700</v>
      </c>
      <c r="P25">
        <v>310</v>
      </c>
      <c r="S25">
        <v>100000</v>
      </c>
      <c r="AF25">
        <v>0</v>
      </c>
      <c r="AG25">
        <v>0</v>
      </c>
      <c r="AS25">
        <v>50000</v>
      </c>
      <c r="AX25">
        <v>30000</v>
      </c>
      <c r="AZ25">
        <v>1666</v>
      </c>
      <c r="BA25">
        <v>550000</v>
      </c>
      <c r="BD25">
        <v>0</v>
      </c>
      <c r="BE25">
        <v>100000</v>
      </c>
      <c r="BH25">
        <v>5000</v>
      </c>
      <c r="BI25">
        <v>13330000</v>
      </c>
      <c r="BJ25">
        <v>3109000</v>
      </c>
      <c r="BL25">
        <v>18110</v>
      </c>
      <c r="BM25">
        <v>1410000</v>
      </c>
    </row>
    <row r="26" spans="1:67">
      <c r="A26">
        <v>3</v>
      </c>
      <c r="B26" t="s">
        <v>104</v>
      </c>
      <c r="C26">
        <v>28295000</v>
      </c>
      <c r="D26">
        <v>1130000</v>
      </c>
      <c r="E26">
        <v>48230</v>
      </c>
      <c r="H26">
        <v>16400</v>
      </c>
      <c r="I26">
        <v>100000</v>
      </c>
      <c r="J26">
        <v>263000</v>
      </c>
      <c r="K26">
        <v>1325</v>
      </c>
      <c r="L26">
        <v>41557</v>
      </c>
      <c r="M26">
        <v>767000</v>
      </c>
      <c r="N26">
        <v>170000</v>
      </c>
      <c r="O26">
        <v>1020000</v>
      </c>
      <c r="P26">
        <v>23</v>
      </c>
      <c r="Q26">
        <v>5508000</v>
      </c>
      <c r="R26">
        <v>390000</v>
      </c>
      <c r="S26">
        <v>21500000</v>
      </c>
      <c r="T26">
        <v>500</v>
      </c>
      <c r="U26">
        <v>34000</v>
      </c>
      <c r="Y26">
        <v>0</v>
      </c>
      <c r="Z26">
        <v>750000</v>
      </c>
      <c r="AC26">
        <v>4590</v>
      </c>
      <c r="AE26">
        <v>375</v>
      </c>
      <c r="AG26">
        <v>2</v>
      </c>
      <c r="AI26">
        <v>15</v>
      </c>
      <c r="AJ26">
        <v>9410</v>
      </c>
      <c r="AK26">
        <v>100</v>
      </c>
      <c r="AL26">
        <v>10</v>
      </c>
      <c r="AN26">
        <v>10251</v>
      </c>
      <c r="AO26">
        <v>3038</v>
      </c>
      <c r="AP26">
        <v>100</v>
      </c>
      <c r="AR26">
        <v>344750</v>
      </c>
      <c r="AS26">
        <v>4360000</v>
      </c>
      <c r="AT26">
        <v>1200000</v>
      </c>
      <c r="AW26">
        <v>849000</v>
      </c>
      <c r="AX26">
        <v>450000</v>
      </c>
      <c r="BA26">
        <v>4560000</v>
      </c>
      <c r="BB26">
        <v>523540</v>
      </c>
      <c r="BC26">
        <v>654000</v>
      </c>
      <c r="BD26">
        <v>42000000</v>
      </c>
      <c r="BE26">
        <v>8650000</v>
      </c>
      <c r="BF26">
        <v>508000</v>
      </c>
      <c r="BG26">
        <v>100000</v>
      </c>
      <c r="BH26">
        <v>20000</v>
      </c>
      <c r="BI26">
        <v>426601300</v>
      </c>
      <c r="BJ26">
        <v>59982200</v>
      </c>
      <c r="BK26">
        <v>37082300</v>
      </c>
      <c r="BL26">
        <v>1070480</v>
      </c>
      <c r="BM26">
        <v>909154300</v>
      </c>
    </row>
    <row r="27" spans="1:67">
      <c r="A27">
        <v>2</v>
      </c>
      <c r="B27" t="s">
        <v>73</v>
      </c>
      <c r="C27">
        <v>931900</v>
      </c>
      <c r="M27">
        <v>240</v>
      </c>
      <c r="N27">
        <v>147</v>
      </c>
      <c r="O27">
        <v>20</v>
      </c>
      <c r="Q27">
        <v>632000</v>
      </c>
      <c r="S27">
        <v>2500000</v>
      </c>
      <c r="AR27">
        <v>49200</v>
      </c>
      <c r="AS27">
        <v>34000</v>
      </c>
      <c r="AW27">
        <v>3000</v>
      </c>
      <c r="AX27">
        <v>170000</v>
      </c>
      <c r="BA27">
        <v>120000</v>
      </c>
      <c r="BD27">
        <v>112700</v>
      </c>
      <c r="BE27">
        <v>6000</v>
      </c>
      <c r="BL27">
        <v>105482</v>
      </c>
      <c r="BM27">
        <v>63006000</v>
      </c>
    </row>
    <row r="28" spans="1:67">
      <c r="A28">
        <v>2</v>
      </c>
      <c r="B28" t="s">
        <v>80</v>
      </c>
      <c r="J28">
        <v>29780</v>
      </c>
      <c r="K28">
        <v>18610</v>
      </c>
      <c r="M28">
        <v>9580</v>
      </c>
      <c r="N28">
        <v>38510</v>
      </c>
      <c r="O28">
        <v>810190</v>
      </c>
      <c r="S28">
        <v>376680</v>
      </c>
      <c r="Z28">
        <v>440933</v>
      </c>
      <c r="AE28">
        <v>0</v>
      </c>
      <c r="AI28">
        <v>0</v>
      </c>
      <c r="AR28">
        <v>0</v>
      </c>
      <c r="AS28">
        <v>174190</v>
      </c>
      <c r="AT28">
        <v>170000</v>
      </c>
      <c r="AW28">
        <v>157680</v>
      </c>
      <c r="AX28">
        <v>40000</v>
      </c>
      <c r="AY28">
        <v>2000</v>
      </c>
      <c r="BA28">
        <v>22786</v>
      </c>
      <c r="BC28">
        <v>32000</v>
      </c>
      <c r="BD28">
        <v>1080650</v>
      </c>
      <c r="BF28">
        <v>2242</v>
      </c>
      <c r="BI28">
        <v>85000</v>
      </c>
      <c r="BL28">
        <v>44640</v>
      </c>
      <c r="BM28">
        <v>31630100</v>
      </c>
    </row>
    <row r="29" spans="1:67">
      <c r="A29">
        <v>2</v>
      </c>
      <c r="B29" t="s">
        <v>64</v>
      </c>
      <c r="C29">
        <v>1024210</v>
      </c>
      <c r="S29">
        <v>702581</v>
      </c>
      <c r="X29">
        <v>819</v>
      </c>
      <c r="AX29">
        <v>35000</v>
      </c>
      <c r="AZ29">
        <v>300</v>
      </c>
      <c r="BA29">
        <v>13500</v>
      </c>
      <c r="BB29">
        <v>669400</v>
      </c>
      <c r="BD29">
        <v>1146551</v>
      </c>
      <c r="BE29">
        <v>4400</v>
      </c>
      <c r="BF29">
        <v>138621</v>
      </c>
      <c r="BL29">
        <v>545</v>
      </c>
      <c r="BM29">
        <v>478093</v>
      </c>
      <c r="BO29">
        <v>200</v>
      </c>
    </row>
    <row r="30" spans="1:67">
      <c r="A30">
        <v>2</v>
      </c>
      <c r="B30" t="s">
        <v>93</v>
      </c>
      <c r="C30">
        <v>85400</v>
      </c>
      <c r="D30">
        <v>71</v>
      </c>
      <c r="N30">
        <v>14</v>
      </c>
      <c r="O30">
        <v>7000</v>
      </c>
      <c r="P30">
        <v>0</v>
      </c>
      <c r="R30">
        <v>2536308</v>
      </c>
      <c r="S30">
        <v>4730000</v>
      </c>
      <c r="Z30">
        <v>189471</v>
      </c>
      <c r="AE30">
        <v>112</v>
      </c>
      <c r="AK30">
        <v>300</v>
      </c>
      <c r="AR30">
        <v>16434</v>
      </c>
      <c r="AS30">
        <v>285000</v>
      </c>
      <c r="AW30">
        <v>44439</v>
      </c>
      <c r="AX30">
        <v>180994</v>
      </c>
      <c r="AY30">
        <v>35508</v>
      </c>
      <c r="AZ30">
        <v>136</v>
      </c>
      <c r="BA30">
        <v>3523000</v>
      </c>
      <c r="BD30">
        <v>13486651</v>
      </c>
      <c r="BE30">
        <v>276876</v>
      </c>
      <c r="BK30">
        <v>102127890</v>
      </c>
      <c r="BL30">
        <v>4620</v>
      </c>
      <c r="BM30">
        <v>1635331</v>
      </c>
      <c r="BO30">
        <v>429483</v>
      </c>
    </row>
    <row r="31" spans="1:67">
      <c r="A31">
        <v>2</v>
      </c>
      <c r="B31" t="s">
        <v>62</v>
      </c>
      <c r="E31">
        <v>974938</v>
      </c>
      <c r="F31">
        <v>0</v>
      </c>
      <c r="H31">
        <v>0</v>
      </c>
      <c r="J31">
        <v>15220</v>
      </c>
      <c r="M31">
        <v>16600</v>
      </c>
      <c r="N31">
        <v>2088</v>
      </c>
      <c r="O31">
        <v>42988</v>
      </c>
      <c r="S31">
        <v>746656</v>
      </c>
      <c r="Z31">
        <v>183361</v>
      </c>
      <c r="AS31">
        <v>1166920</v>
      </c>
      <c r="BB31">
        <v>135363</v>
      </c>
      <c r="BC31">
        <v>842376</v>
      </c>
      <c r="BD31">
        <v>220000</v>
      </c>
      <c r="BE31">
        <v>230000</v>
      </c>
      <c r="BK31">
        <v>10611290</v>
      </c>
      <c r="BL31">
        <v>2</v>
      </c>
      <c r="BM31">
        <v>50110</v>
      </c>
    </row>
    <row r="32" spans="1:67">
      <c r="A32">
        <v>2</v>
      </c>
      <c r="B32" t="s">
        <v>102</v>
      </c>
      <c r="C32">
        <v>15900</v>
      </c>
      <c r="G32">
        <v>16300</v>
      </c>
      <c r="I32">
        <v>14100</v>
      </c>
      <c r="J32">
        <v>41500</v>
      </c>
      <c r="K32">
        <v>930</v>
      </c>
      <c r="L32">
        <v>390</v>
      </c>
      <c r="M32">
        <v>33270</v>
      </c>
      <c r="N32">
        <v>2632</v>
      </c>
      <c r="O32">
        <v>277</v>
      </c>
      <c r="S32">
        <v>45235</v>
      </c>
      <c r="V32">
        <v>185</v>
      </c>
      <c r="W32">
        <v>190</v>
      </c>
      <c r="X32">
        <v>26</v>
      </c>
      <c r="AC32">
        <v>189</v>
      </c>
      <c r="AM32">
        <v>7680</v>
      </c>
      <c r="AR32">
        <v>30</v>
      </c>
      <c r="AX32">
        <v>76575</v>
      </c>
      <c r="AY32">
        <v>23960</v>
      </c>
      <c r="BA32">
        <v>29843</v>
      </c>
      <c r="BF32">
        <v>64400</v>
      </c>
      <c r="BH32">
        <v>4980</v>
      </c>
      <c r="BI32">
        <v>481692</v>
      </c>
      <c r="BL32">
        <v>42930</v>
      </c>
      <c r="BM32">
        <v>73213100</v>
      </c>
    </row>
    <row r="33" spans="1:67">
      <c r="A33">
        <v>2</v>
      </c>
      <c r="B33" t="s">
        <v>59</v>
      </c>
      <c r="C33">
        <v>1166600</v>
      </c>
      <c r="H33">
        <v>220</v>
      </c>
      <c r="I33">
        <v>290660</v>
      </c>
      <c r="S33">
        <v>0</v>
      </c>
      <c r="U33">
        <v>0</v>
      </c>
      <c r="Z33">
        <v>1321229</v>
      </c>
      <c r="AE33">
        <v>420</v>
      </c>
      <c r="AS33">
        <v>0</v>
      </c>
      <c r="AX33">
        <v>45020</v>
      </c>
      <c r="AZ33">
        <v>6483</v>
      </c>
      <c r="BD33">
        <v>0</v>
      </c>
      <c r="BE33">
        <v>82000</v>
      </c>
      <c r="BI33">
        <v>119745</v>
      </c>
      <c r="BL33">
        <v>117322</v>
      </c>
      <c r="BM33">
        <v>95700400</v>
      </c>
    </row>
    <row r="34" spans="1:67">
      <c r="A34">
        <v>2</v>
      </c>
      <c r="B34" t="s">
        <v>68</v>
      </c>
      <c r="D34">
        <v>9250</v>
      </c>
      <c r="G34">
        <v>3250</v>
      </c>
      <c r="J34">
        <v>700</v>
      </c>
      <c r="M34">
        <v>500</v>
      </c>
      <c r="N34">
        <v>500</v>
      </c>
      <c r="O34">
        <v>18000</v>
      </c>
      <c r="S34">
        <v>841964</v>
      </c>
      <c r="Z34">
        <v>196438</v>
      </c>
      <c r="AS34">
        <v>62026</v>
      </c>
      <c r="AX34">
        <v>20000</v>
      </c>
      <c r="BA34">
        <v>0</v>
      </c>
      <c r="BD34">
        <v>1244111</v>
      </c>
      <c r="BK34">
        <v>14745137</v>
      </c>
      <c r="BL34">
        <v>9207</v>
      </c>
      <c r="BM34">
        <v>2986000</v>
      </c>
    </row>
    <row r="35" spans="1:67">
      <c r="A35">
        <v>2</v>
      </c>
      <c r="B35" t="s">
        <v>87</v>
      </c>
      <c r="C35">
        <v>302190</v>
      </c>
      <c r="I35">
        <v>110120</v>
      </c>
      <c r="J35">
        <v>240</v>
      </c>
      <c r="M35">
        <v>810</v>
      </c>
      <c r="N35">
        <v>43</v>
      </c>
      <c r="O35">
        <v>2322</v>
      </c>
      <c r="U35">
        <v>339</v>
      </c>
      <c r="AE35">
        <v>4500</v>
      </c>
      <c r="AF35">
        <v>3</v>
      </c>
      <c r="AH35">
        <v>180</v>
      </c>
      <c r="AS35">
        <v>8000</v>
      </c>
      <c r="AW35">
        <v>120941</v>
      </c>
      <c r="AX35">
        <v>990546</v>
      </c>
      <c r="AZ35">
        <v>9615</v>
      </c>
      <c r="BA35">
        <v>332179</v>
      </c>
      <c r="BD35">
        <v>242050</v>
      </c>
      <c r="BE35">
        <v>2000000</v>
      </c>
      <c r="BF35">
        <v>306929</v>
      </c>
      <c r="BI35">
        <v>645949</v>
      </c>
      <c r="BL35">
        <v>0</v>
      </c>
      <c r="BM35">
        <v>0</v>
      </c>
    </row>
    <row r="36" spans="1:67">
      <c r="A36">
        <v>2</v>
      </c>
      <c r="B36" t="s">
        <v>82</v>
      </c>
      <c r="C36">
        <v>0</v>
      </c>
      <c r="D36">
        <v>114786</v>
      </c>
      <c r="J36">
        <v>10547</v>
      </c>
      <c r="M36">
        <v>89219</v>
      </c>
      <c r="N36">
        <v>1605</v>
      </c>
      <c r="O36">
        <v>88796</v>
      </c>
      <c r="R36">
        <v>420000</v>
      </c>
      <c r="S36">
        <v>14462507</v>
      </c>
      <c r="W36">
        <v>24</v>
      </c>
      <c r="X36">
        <v>711</v>
      </c>
      <c r="Z36">
        <v>0</v>
      </c>
      <c r="AM36">
        <v>356</v>
      </c>
      <c r="AS36">
        <v>117550</v>
      </c>
      <c r="AW36">
        <v>73997</v>
      </c>
      <c r="AX36">
        <v>617009</v>
      </c>
      <c r="AY36">
        <v>146975</v>
      </c>
      <c r="BA36">
        <v>403105</v>
      </c>
      <c r="BB36">
        <v>667248</v>
      </c>
      <c r="BD36">
        <v>3269197</v>
      </c>
      <c r="BE36">
        <v>737700</v>
      </c>
      <c r="BF36">
        <v>0</v>
      </c>
      <c r="BL36">
        <v>26</v>
      </c>
      <c r="BM36">
        <v>606</v>
      </c>
    </row>
    <row r="37" spans="1:67">
      <c r="A37">
        <v>2</v>
      </c>
      <c r="B37" t="s">
        <v>92</v>
      </c>
      <c r="C37">
        <v>215320</v>
      </c>
      <c r="G37">
        <v>290</v>
      </c>
      <c r="I37">
        <v>0</v>
      </c>
      <c r="N37">
        <v>857</v>
      </c>
      <c r="O37">
        <v>10417</v>
      </c>
      <c r="S37">
        <v>8736085</v>
      </c>
      <c r="X37">
        <v>32</v>
      </c>
      <c r="AM37">
        <v>30</v>
      </c>
      <c r="AR37">
        <v>30685</v>
      </c>
      <c r="AW37">
        <v>3000</v>
      </c>
      <c r="AX37">
        <v>1884301</v>
      </c>
      <c r="AY37">
        <v>187566</v>
      </c>
      <c r="BA37">
        <v>169644</v>
      </c>
      <c r="BC37">
        <v>2500</v>
      </c>
      <c r="BD37">
        <v>1392649</v>
      </c>
      <c r="BF37">
        <v>32484</v>
      </c>
      <c r="BK37">
        <v>12713628</v>
      </c>
      <c r="BL37">
        <v>27053</v>
      </c>
      <c r="BM37">
        <v>6780010</v>
      </c>
    </row>
    <row r="38" spans="1:67">
      <c r="A38">
        <v>1</v>
      </c>
      <c r="B38" t="s">
        <v>99</v>
      </c>
      <c r="BD38">
        <v>2232000</v>
      </c>
      <c r="BI38">
        <v>767307</v>
      </c>
      <c r="BL38">
        <v>22650</v>
      </c>
      <c r="BM38">
        <v>313310</v>
      </c>
    </row>
    <row r="39" spans="1:67">
      <c r="A39">
        <v>1</v>
      </c>
      <c r="B39" t="s">
        <v>66</v>
      </c>
      <c r="AB39">
        <v>1000</v>
      </c>
      <c r="AH39">
        <v>19</v>
      </c>
      <c r="AK39">
        <v>200</v>
      </c>
    </row>
    <row r="40" spans="1:67">
      <c r="A40">
        <v>1</v>
      </c>
      <c r="B40" t="s">
        <v>60</v>
      </c>
      <c r="AS40">
        <v>18962</v>
      </c>
      <c r="AW40">
        <v>101900</v>
      </c>
      <c r="BD40">
        <v>600000</v>
      </c>
      <c r="BE40">
        <v>2700</v>
      </c>
      <c r="BL40">
        <v>1328</v>
      </c>
      <c r="BM40">
        <v>2922014</v>
      </c>
    </row>
    <row r="41" spans="1:67">
      <c r="A41">
        <v>1</v>
      </c>
      <c r="B41" t="s">
        <v>89</v>
      </c>
      <c r="C41">
        <v>45000</v>
      </c>
      <c r="G41">
        <v>1000</v>
      </c>
      <c r="N41">
        <v>13998</v>
      </c>
      <c r="Q41">
        <v>1100000</v>
      </c>
      <c r="S41">
        <v>800000</v>
      </c>
      <c r="Z41">
        <v>310000</v>
      </c>
      <c r="AR41">
        <v>4000</v>
      </c>
      <c r="AS41">
        <v>5000</v>
      </c>
      <c r="AX41">
        <v>200000</v>
      </c>
      <c r="AY41">
        <v>1000</v>
      </c>
      <c r="BA41">
        <v>230000</v>
      </c>
      <c r="BD41">
        <v>200000</v>
      </c>
      <c r="BE41">
        <v>80000</v>
      </c>
      <c r="BF41">
        <v>20000</v>
      </c>
      <c r="BL41">
        <v>57100</v>
      </c>
      <c r="BM41">
        <v>29820890</v>
      </c>
    </row>
    <row r="42" spans="1:67">
      <c r="A42">
        <v>1</v>
      </c>
      <c r="B42" t="s">
        <v>88</v>
      </c>
      <c r="E42">
        <v>120000</v>
      </c>
      <c r="S42">
        <v>1808560</v>
      </c>
      <c r="Z42">
        <v>356717</v>
      </c>
      <c r="AH42">
        <v>21</v>
      </c>
      <c r="AS42">
        <v>180000</v>
      </c>
      <c r="AW42">
        <v>50000</v>
      </c>
      <c r="AX42">
        <v>450000</v>
      </c>
      <c r="BA42">
        <v>268828</v>
      </c>
      <c r="BD42">
        <v>4373125</v>
      </c>
      <c r="BE42">
        <v>400000</v>
      </c>
      <c r="BF42">
        <v>350000</v>
      </c>
      <c r="BL42">
        <v>18</v>
      </c>
      <c r="BM42">
        <v>586020</v>
      </c>
      <c r="BO42">
        <v>2000</v>
      </c>
    </row>
    <row r="43" spans="1:67">
      <c r="A43">
        <v>1</v>
      </c>
      <c r="B43" t="s">
        <v>71</v>
      </c>
      <c r="Q43">
        <v>0</v>
      </c>
      <c r="S43">
        <v>1100000</v>
      </c>
      <c r="BD43">
        <v>200000</v>
      </c>
      <c r="BE43">
        <v>180000</v>
      </c>
      <c r="BL43">
        <v>9930</v>
      </c>
      <c r="BM43">
        <v>213040760</v>
      </c>
    </row>
    <row r="44" spans="1:67">
      <c r="A44">
        <v>1</v>
      </c>
      <c r="B44" t="s">
        <v>63</v>
      </c>
      <c r="Q44">
        <v>738900</v>
      </c>
      <c r="R44">
        <v>2341050</v>
      </c>
      <c r="S44">
        <v>88124</v>
      </c>
      <c r="BD44">
        <v>264691</v>
      </c>
      <c r="BL44">
        <v>21285</v>
      </c>
      <c r="BM44">
        <v>459211</v>
      </c>
      <c r="BO44">
        <v>0</v>
      </c>
    </row>
    <row r="45" spans="1:67">
      <c r="A45">
        <v>1</v>
      </c>
      <c r="B45" t="s">
        <v>83</v>
      </c>
      <c r="S45">
        <v>418061</v>
      </c>
      <c r="AS45">
        <v>394391</v>
      </c>
      <c r="AX45">
        <v>2200000</v>
      </c>
      <c r="BA45">
        <v>177221</v>
      </c>
      <c r="BD45">
        <v>1044156</v>
      </c>
      <c r="BE45">
        <v>303600</v>
      </c>
      <c r="BF45">
        <v>164000</v>
      </c>
      <c r="BL45">
        <v>2988</v>
      </c>
      <c r="BM45">
        <v>4241523</v>
      </c>
    </row>
    <row r="46" spans="1:67">
      <c r="A46">
        <v>1</v>
      </c>
      <c r="B46" t="s">
        <v>97</v>
      </c>
      <c r="N46">
        <v>4139</v>
      </c>
      <c r="O46">
        <v>2604</v>
      </c>
      <c r="AB46">
        <v>40</v>
      </c>
      <c r="AD46">
        <v>500</v>
      </c>
      <c r="AE46">
        <v>1750</v>
      </c>
      <c r="AF46">
        <v>3</v>
      </c>
      <c r="AG46">
        <v>2</v>
      </c>
      <c r="AH46">
        <v>65</v>
      </c>
      <c r="AK46">
        <v>680</v>
      </c>
      <c r="AL46">
        <v>65</v>
      </c>
      <c r="AS46">
        <v>180000</v>
      </c>
      <c r="BA46">
        <v>12000</v>
      </c>
      <c r="BD46">
        <v>792000</v>
      </c>
      <c r="BE46">
        <v>3017400</v>
      </c>
      <c r="BF46">
        <v>140000</v>
      </c>
      <c r="BL46">
        <v>2019</v>
      </c>
      <c r="BM46">
        <v>355600</v>
      </c>
    </row>
    <row r="47" spans="1:67">
      <c r="A47">
        <v>1</v>
      </c>
      <c r="B47" t="s">
        <v>70</v>
      </c>
      <c r="Z47">
        <v>0</v>
      </c>
      <c r="AE47">
        <v>726</v>
      </c>
      <c r="BD47">
        <v>4883185</v>
      </c>
      <c r="BL47">
        <v>11186</v>
      </c>
      <c r="BM47">
        <v>404894</v>
      </c>
    </row>
    <row r="48" spans="1:67">
      <c r="A48">
        <v>1</v>
      </c>
      <c r="B48" t="s">
        <v>61</v>
      </c>
    </row>
    <row r="49" spans="1:67">
      <c r="A49">
        <v>1</v>
      </c>
      <c r="B49" t="s">
        <v>65</v>
      </c>
      <c r="S49">
        <v>330000</v>
      </c>
      <c r="BD49">
        <v>373183</v>
      </c>
    </row>
    <row r="50" spans="1:67">
      <c r="A50">
        <v>1</v>
      </c>
      <c r="B50" t="s">
        <v>125</v>
      </c>
      <c r="N50">
        <v>3</v>
      </c>
      <c r="BA50">
        <v>45</v>
      </c>
      <c r="BD50">
        <v>111662</v>
      </c>
      <c r="BE50">
        <v>122238</v>
      </c>
      <c r="BF50">
        <v>0</v>
      </c>
      <c r="BL50">
        <v>91</v>
      </c>
      <c r="BM50">
        <v>1400</v>
      </c>
    </row>
    <row r="51" spans="1:67">
      <c r="A51">
        <v>1</v>
      </c>
      <c r="B51" t="s">
        <v>126</v>
      </c>
      <c r="Z51">
        <v>2660000</v>
      </c>
      <c r="BE51">
        <v>6300000</v>
      </c>
      <c r="BL51">
        <v>55560</v>
      </c>
      <c r="BM51">
        <v>176067470</v>
      </c>
    </row>
    <row r="52" spans="1:67">
      <c r="A52">
        <v>1</v>
      </c>
      <c r="B52" t="s">
        <v>90</v>
      </c>
      <c r="J52">
        <v>100</v>
      </c>
      <c r="N52">
        <v>126</v>
      </c>
      <c r="O52">
        <v>650</v>
      </c>
      <c r="R52">
        <v>141260</v>
      </c>
      <c r="S52">
        <v>2400000</v>
      </c>
      <c r="Z52">
        <v>29246</v>
      </c>
      <c r="AR52">
        <v>30000</v>
      </c>
      <c r="AY52">
        <v>8000</v>
      </c>
      <c r="BA52">
        <v>771994</v>
      </c>
      <c r="BD52">
        <v>2715118</v>
      </c>
      <c r="BE52">
        <v>120000</v>
      </c>
      <c r="BF52">
        <v>2000</v>
      </c>
      <c r="BI52">
        <v>345860</v>
      </c>
      <c r="BJ52">
        <v>160070</v>
      </c>
      <c r="BL52">
        <v>34043</v>
      </c>
      <c r="BM52">
        <v>33754600</v>
      </c>
    </row>
    <row r="53" spans="1:67">
      <c r="C53">
        <v>1509499702</v>
      </c>
      <c r="D53">
        <v>13780699</v>
      </c>
      <c r="E53">
        <v>252013811</v>
      </c>
      <c r="F53">
        <v>11217672</v>
      </c>
      <c r="G53">
        <v>13640454</v>
      </c>
      <c r="H53">
        <v>3198995</v>
      </c>
      <c r="I53">
        <v>6309490</v>
      </c>
      <c r="J53">
        <v>4022964</v>
      </c>
      <c r="K53">
        <v>465224</v>
      </c>
      <c r="L53">
        <v>324471</v>
      </c>
      <c r="M53">
        <v>9370102</v>
      </c>
      <c r="N53">
        <v>2028097</v>
      </c>
      <c r="O53">
        <v>20235014</v>
      </c>
      <c r="P53">
        <v>28561</v>
      </c>
      <c r="Q53">
        <v>62446270</v>
      </c>
      <c r="R53">
        <v>34368772</v>
      </c>
      <c r="S53">
        <v>190913761</v>
      </c>
      <c r="T53">
        <v>44026</v>
      </c>
      <c r="U53">
        <v>240001</v>
      </c>
      <c r="V53">
        <v>116953</v>
      </c>
      <c r="W53">
        <v>778</v>
      </c>
      <c r="X53">
        <v>79572</v>
      </c>
      <c r="Y53">
        <v>116825</v>
      </c>
      <c r="Z53">
        <v>65821929</v>
      </c>
      <c r="AA53">
        <v>81716</v>
      </c>
      <c r="AB53">
        <v>33240</v>
      </c>
      <c r="AC53">
        <v>6714</v>
      </c>
      <c r="AD53">
        <v>9648</v>
      </c>
      <c r="AE53">
        <v>21756</v>
      </c>
      <c r="AF53">
        <v>713</v>
      </c>
      <c r="AG53">
        <v>163</v>
      </c>
      <c r="AH53">
        <v>977</v>
      </c>
      <c r="AI53">
        <v>757</v>
      </c>
      <c r="AJ53">
        <v>71305</v>
      </c>
      <c r="AK53">
        <v>3716</v>
      </c>
      <c r="AL53">
        <v>688</v>
      </c>
      <c r="AM53">
        <v>178147</v>
      </c>
      <c r="AN53">
        <v>188831</v>
      </c>
      <c r="AO53">
        <v>158677</v>
      </c>
      <c r="AP53">
        <v>21163</v>
      </c>
      <c r="AQ53">
        <v>983340</v>
      </c>
      <c r="AR53">
        <v>7364503</v>
      </c>
      <c r="AS53">
        <v>18146641</v>
      </c>
      <c r="AT53">
        <v>4205289</v>
      </c>
      <c r="AU53">
        <v>40527511</v>
      </c>
      <c r="AV53">
        <v>18444345</v>
      </c>
      <c r="AW53">
        <v>2268854</v>
      </c>
      <c r="AX53">
        <v>33473441</v>
      </c>
      <c r="AY53">
        <v>8144565</v>
      </c>
      <c r="AZ53">
        <v>1482159</v>
      </c>
      <c r="BA53">
        <v>41199969</v>
      </c>
      <c r="BB53">
        <v>22016481</v>
      </c>
      <c r="BC53">
        <v>2863721</v>
      </c>
      <c r="BD53">
        <v>251793490</v>
      </c>
      <c r="BE53">
        <v>69190226</v>
      </c>
      <c r="BF53">
        <v>6559475</v>
      </c>
      <c r="BG53">
        <v>405155</v>
      </c>
      <c r="BH53">
        <v>1023706</v>
      </c>
      <c r="BI53">
        <v>6869341134</v>
      </c>
      <c r="BJ53">
        <v>1007132957</v>
      </c>
      <c r="BK53">
        <v>476122371</v>
      </c>
      <c r="BL53">
        <v>3538919</v>
      </c>
      <c r="BM53">
        <v>3845298376</v>
      </c>
      <c r="BN53">
        <v>173858800</v>
      </c>
      <c r="BO53">
        <v>431683</v>
      </c>
    </row>
    <row r="54" spans="1:67">
      <c r="C54">
        <v>1561947990</v>
      </c>
      <c r="D54">
        <v>22458973</v>
      </c>
      <c r="E54">
        <v>390902596</v>
      </c>
      <c r="F54">
        <v>14536362</v>
      </c>
      <c r="G54">
        <v>20226171</v>
      </c>
      <c r="H54">
        <v>3689247</v>
      </c>
      <c r="I54">
        <v>9044885</v>
      </c>
      <c r="J54">
        <v>4704599</v>
      </c>
      <c r="K54">
        <v>499954</v>
      </c>
      <c r="L54">
        <v>385321</v>
      </c>
      <c r="M54">
        <v>12521588</v>
      </c>
      <c r="N54">
        <v>3266418</v>
      </c>
      <c r="O54">
        <v>26643145</v>
      </c>
      <c r="P54">
        <v>67345</v>
      </c>
      <c r="Q54">
        <v>71398340</v>
      </c>
      <c r="R54">
        <v>45048272</v>
      </c>
      <c r="S54">
        <v>214771000</v>
      </c>
      <c r="T54">
        <v>197475</v>
      </c>
      <c r="U54">
        <v>291683</v>
      </c>
      <c r="V54">
        <v>117875</v>
      </c>
      <c r="W54">
        <v>2110</v>
      </c>
      <c r="X54">
        <v>83785</v>
      </c>
      <c r="Y54">
        <v>116825</v>
      </c>
      <c r="Z54">
        <v>70659931</v>
      </c>
      <c r="AA54">
        <v>103750</v>
      </c>
      <c r="AB54">
        <v>64402</v>
      </c>
      <c r="AC54">
        <v>7642</v>
      </c>
      <c r="AD54">
        <v>10110</v>
      </c>
      <c r="AE54">
        <v>24226</v>
      </c>
      <c r="AF54">
        <v>713</v>
      </c>
      <c r="AG54">
        <v>163</v>
      </c>
      <c r="AH54">
        <v>978</v>
      </c>
      <c r="AI54">
        <v>1063</v>
      </c>
      <c r="AJ54">
        <v>72915</v>
      </c>
      <c r="AK54">
        <v>3993</v>
      </c>
      <c r="AL54">
        <v>692</v>
      </c>
      <c r="AM54">
        <v>288806</v>
      </c>
      <c r="AN54">
        <v>205535</v>
      </c>
      <c r="AO54">
        <v>178795</v>
      </c>
      <c r="AP54">
        <v>22835</v>
      </c>
      <c r="AQ54">
        <v>1238640</v>
      </c>
      <c r="AR54">
        <v>8906343</v>
      </c>
      <c r="AS54">
        <v>19276083</v>
      </c>
      <c r="AT54">
        <v>4791966</v>
      </c>
      <c r="AU54">
        <v>72336225</v>
      </c>
      <c r="AV54">
        <v>38981899</v>
      </c>
      <c r="AW54">
        <v>2456129</v>
      </c>
      <c r="AX54">
        <v>34225456</v>
      </c>
      <c r="AY54">
        <v>8679037</v>
      </c>
      <c r="AZ54">
        <v>1656698</v>
      </c>
      <c r="BA54">
        <v>45349144</v>
      </c>
      <c r="BB54">
        <v>22756966</v>
      </c>
      <c r="BC54">
        <v>3064316</v>
      </c>
      <c r="BD54">
        <v>268982276</v>
      </c>
      <c r="BE54">
        <v>82745314</v>
      </c>
      <c r="BF54">
        <v>7142897</v>
      </c>
      <c r="BG54">
        <v>467869</v>
      </c>
      <c r="BH54">
        <v>1324397</v>
      </c>
      <c r="BI54">
        <v>7019162249</v>
      </c>
      <c r="BJ54">
        <v>1075305187</v>
      </c>
      <c r="BK54">
        <v>633385466</v>
      </c>
      <c r="BL54">
        <v>4159174</v>
      </c>
      <c r="BM54">
        <v>4546738152</v>
      </c>
      <c r="BN54">
        <v>193858800</v>
      </c>
      <c r="BO54">
        <v>22280683</v>
      </c>
    </row>
    <row r="55" spans="1:67">
      <c r="C55">
        <v>0.96642123275820468</v>
      </c>
      <c r="D55">
        <v>0.61359435268923468</v>
      </c>
      <c r="E55">
        <v>0.64469720482490733</v>
      </c>
      <c r="F55">
        <v>0.77169734765823805</v>
      </c>
      <c r="G55">
        <v>0.67439625621675992</v>
      </c>
      <c r="H55">
        <v>0.86711326186617488</v>
      </c>
      <c r="I55">
        <v>0.69757548050638563</v>
      </c>
      <c r="J55">
        <v>0.85511305001765292</v>
      </c>
      <c r="K55">
        <v>0.93053360909203642</v>
      </c>
      <c r="L55">
        <v>0.84207972054468871</v>
      </c>
      <c r="M55">
        <v>0.74831578870028304</v>
      </c>
      <c r="N55">
        <v>0.62089328432552116</v>
      </c>
      <c r="O55">
        <v>0.75948293641760389</v>
      </c>
      <c r="P55">
        <v>0.42409978469077142</v>
      </c>
      <c r="Q55">
        <v>0.87461795330255576</v>
      </c>
      <c r="R55">
        <v>0.76293208316625327</v>
      </c>
      <c r="S55">
        <v>0.88891778219592033</v>
      </c>
      <c r="T55">
        <v>0.22294467654133435</v>
      </c>
      <c r="U55">
        <v>0.82281449381691774</v>
      </c>
      <c r="V55">
        <v>0.99217815482502647</v>
      </c>
      <c r="W55">
        <v>0.36872037914691941</v>
      </c>
      <c r="X55">
        <v>0.94971653637285913</v>
      </c>
      <c r="Y55">
        <v>1</v>
      </c>
      <c r="Z55">
        <v>0.93153118137066959</v>
      </c>
      <c r="AA55">
        <v>0.78762409638554221</v>
      </c>
      <c r="AB55">
        <v>0.51613303934660415</v>
      </c>
      <c r="AC55">
        <v>0.87856582046584664</v>
      </c>
      <c r="AD55">
        <v>0.95430267062314544</v>
      </c>
      <c r="AE55">
        <v>0.89804342442004459</v>
      </c>
      <c r="AF55">
        <v>1</v>
      </c>
      <c r="AG55">
        <v>1</v>
      </c>
      <c r="AH55">
        <v>0.99897750511247441</v>
      </c>
      <c r="AI55">
        <v>0.71213546566321728</v>
      </c>
      <c r="AJ55">
        <v>0.9779194953027498</v>
      </c>
      <c r="AK55">
        <v>0.93062860005008763</v>
      </c>
      <c r="AL55">
        <v>0.9942196531791907</v>
      </c>
      <c r="AM55">
        <v>0.61683967784602811</v>
      </c>
      <c r="AN55">
        <v>0.91872917021431877</v>
      </c>
      <c r="AO55">
        <v>0.88748007494616743</v>
      </c>
      <c r="AP55">
        <v>0.92677906722137071</v>
      </c>
      <c r="AQ55">
        <v>0.79388684363495443</v>
      </c>
      <c r="AR55">
        <v>0.82688293051368</v>
      </c>
      <c r="AS55">
        <v>0.94140707943621116</v>
      </c>
      <c r="AT55">
        <v>0.87757070897414546</v>
      </c>
      <c r="AU55">
        <v>0.56026577278535061</v>
      </c>
      <c r="AV55">
        <v>0.47315152604546024</v>
      </c>
      <c r="AW55">
        <v>0.92375196905374268</v>
      </c>
      <c r="AX55">
        <v>0.97802761196227739</v>
      </c>
      <c r="AY55">
        <v>0.93841805260191891</v>
      </c>
      <c r="AZ55">
        <v>0.89464645940298115</v>
      </c>
      <c r="BA55">
        <v>0.9085059907635743</v>
      </c>
      <c r="BB55">
        <v>0.96746117210879512</v>
      </c>
      <c r="BC55">
        <v>0.93453840922411391</v>
      </c>
      <c r="BD55">
        <v>0.93609695681212834</v>
      </c>
      <c r="BE55">
        <v>0.83618301333656186</v>
      </c>
      <c r="BF55">
        <v>0.91832137576672324</v>
      </c>
      <c r="BG55">
        <v>0.86595820625004005</v>
      </c>
      <c r="BH55">
        <v>0.77296007164015024</v>
      </c>
      <c r="BI55">
        <v>0.9786554136113117</v>
      </c>
      <c r="BJ55">
        <v>0.93660197046924498</v>
      </c>
      <c r="BK55">
        <v>0.75171028790231187</v>
      </c>
      <c r="BL55">
        <v>0.8508706296009737</v>
      </c>
      <c r="BM55">
        <v>0.84572681501540758</v>
      </c>
      <c r="BN55">
        <v>0.89683212730090145</v>
      </c>
      <c r="BO55">
        <v>1.9374765127262931E-2</v>
      </c>
    </row>
    <row r="56" spans="1:67">
      <c r="AK56">
        <v>100</v>
      </c>
    </row>
  </sheetData>
  <sortState xmlns:xlrd2="http://schemas.microsoft.com/office/spreadsheetml/2017/richdata2" ref="A2:BO52">
    <sortCondition descending="1" ref="A3:A5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39CEC-D3F9-4FE8-9562-7C88511C92BB}">
  <dimension ref="A1:Y52"/>
  <sheetViews>
    <sheetView workbookViewId="0">
      <pane ySplit="1" topLeftCell="A2" activePane="bottomLeft" state="frozen"/>
      <selection pane="bottomLeft" activeCell="G22" sqref="G22"/>
    </sheetView>
  </sheetViews>
  <sheetFormatPr defaultRowHeight="13.9"/>
  <cols>
    <col min="1" max="1" width="7.06640625" customWidth="1"/>
    <col min="2" max="2" width="10.06640625" customWidth="1"/>
    <col min="3" max="3" width="4.46484375" customWidth="1"/>
    <col min="4" max="4" width="6.796875" customWidth="1"/>
    <col min="5" max="6" width="10.06640625" customWidth="1"/>
    <col min="7" max="7" width="13.46484375" customWidth="1"/>
  </cols>
  <sheetData>
    <row r="1" spans="1:25" s="15" customFormat="1">
      <c r="A1" s="15" t="s">
        <v>249</v>
      </c>
      <c r="B1" s="20" t="s">
        <v>196</v>
      </c>
      <c r="C1" s="20"/>
      <c r="D1" s="21" t="s">
        <v>300</v>
      </c>
      <c r="E1" s="21" t="s">
        <v>301</v>
      </c>
      <c r="F1" s="21" t="s">
        <v>302</v>
      </c>
      <c r="G1" s="21" t="s">
        <v>303</v>
      </c>
      <c r="H1" s="21" t="s">
        <v>304</v>
      </c>
      <c r="I1" s="21" t="s">
        <v>305</v>
      </c>
      <c r="J1" s="21" t="s">
        <v>306</v>
      </c>
      <c r="K1" s="21" t="s">
        <v>307</v>
      </c>
      <c r="L1" s="21" t="s">
        <v>308</v>
      </c>
      <c r="M1" s="21" t="s">
        <v>309</v>
      </c>
      <c r="N1" s="21" t="s">
        <v>310</v>
      </c>
      <c r="O1" s="21" t="s">
        <v>311</v>
      </c>
      <c r="P1" s="21" t="s">
        <v>312</v>
      </c>
      <c r="Q1" s="21" t="s">
        <v>313</v>
      </c>
      <c r="R1" s="21" t="s">
        <v>314</v>
      </c>
      <c r="S1" s="21" t="s">
        <v>315</v>
      </c>
      <c r="T1" s="21" t="s">
        <v>316</v>
      </c>
      <c r="U1" s="21" t="s">
        <v>317</v>
      </c>
      <c r="V1" s="21" t="s">
        <v>318</v>
      </c>
      <c r="W1" s="21" t="s">
        <v>319</v>
      </c>
      <c r="X1" s="21" t="s">
        <v>320</v>
      </c>
      <c r="Y1" s="21" t="s">
        <v>321</v>
      </c>
    </row>
    <row r="2" spans="1:25">
      <c r="A2">
        <v>2.5</v>
      </c>
      <c r="B2" t="s">
        <v>185</v>
      </c>
      <c r="C2">
        <f t="shared" ref="C2:C33" si="0">G2+M2</f>
        <v>0.75406033398752281</v>
      </c>
      <c r="D2">
        <f t="shared" ref="D2:D33" si="1">E2+F2</f>
        <v>73.7</v>
      </c>
      <c r="E2">
        <v>51.5</v>
      </c>
      <c r="F2">
        <v>22.2</v>
      </c>
      <c r="G2">
        <f t="shared" ref="G2:G33" si="2">W2/Y2</f>
        <v>0.25963366397584731</v>
      </c>
      <c r="H2">
        <f t="shared" ref="H2:H33" si="3">X2*1000000/W2/365</f>
        <v>9.4772286601460785</v>
      </c>
      <c r="I2">
        <v>2.5</v>
      </c>
      <c r="J2">
        <f t="shared" ref="J2:J24" si="4">G2^2*H2</f>
        <v>0.63885656715067951</v>
      </c>
      <c r="K2">
        <v>3.5</v>
      </c>
      <c r="L2">
        <f t="shared" ref="L2:L33" si="5">T2/V2</f>
        <v>0.75026251800455346</v>
      </c>
      <c r="M2">
        <f t="shared" ref="M2:M33" si="6">Q2/S2</f>
        <v>0.49442667001167551</v>
      </c>
      <c r="N2" s="1">
        <f t="shared" ref="N2:N33" si="7">R2*1000/Q2</f>
        <v>11.119479610731446</v>
      </c>
      <c r="O2" s="1">
        <v>3.5</v>
      </c>
      <c r="P2" s="1">
        <f t="shared" ref="P2:P33" si="8">M2^2*N2</f>
        <v>2.7182427668690794</v>
      </c>
      <c r="Q2" s="1">
        <v>168263.27</v>
      </c>
      <c r="R2" s="1">
        <v>1871</v>
      </c>
      <c r="S2" s="1">
        <v>340319.97100000002</v>
      </c>
      <c r="T2">
        <v>242.21100000000001</v>
      </c>
      <c r="U2" s="1">
        <v>78590</v>
      </c>
      <c r="V2">
        <v>322.83499999999998</v>
      </c>
      <c r="W2">
        <v>2977577</v>
      </c>
      <c r="X2">
        <v>10300</v>
      </c>
      <c r="Y2">
        <v>11468378</v>
      </c>
    </row>
    <row r="3" spans="1:25">
      <c r="A3">
        <v>5</v>
      </c>
      <c r="B3" t="s">
        <v>73</v>
      </c>
      <c r="C3">
        <f t="shared" si="0"/>
        <v>4.8782406013760076</v>
      </c>
      <c r="D3">
        <f t="shared" si="1"/>
        <v>1</v>
      </c>
      <c r="E3">
        <v>1</v>
      </c>
      <c r="F3">
        <v>0</v>
      </c>
      <c r="G3">
        <f t="shared" si="2"/>
        <v>3.0192289610807053</v>
      </c>
      <c r="H3">
        <f t="shared" si="3"/>
        <v>23.810125912807063</v>
      </c>
      <c r="I3">
        <v>36</v>
      </c>
      <c r="J3">
        <f t="shared" si="4"/>
        <v>217.04700098644699</v>
      </c>
      <c r="K3">
        <v>49</v>
      </c>
      <c r="L3">
        <f t="shared" si="5"/>
        <v>0</v>
      </c>
      <c r="M3">
        <f t="shared" si="6"/>
        <v>1.8590116402953021</v>
      </c>
      <c r="N3" s="1">
        <f t="shared" si="7"/>
        <v>45.54421695726576</v>
      </c>
      <c r="O3" s="1">
        <v>17</v>
      </c>
      <c r="P3" s="1">
        <f t="shared" si="8"/>
        <v>157.39736513942839</v>
      </c>
      <c r="Q3" s="1">
        <v>98805.08</v>
      </c>
      <c r="R3" s="1">
        <v>4500</v>
      </c>
      <c r="S3" s="1">
        <v>53149.252999999997</v>
      </c>
      <c r="T3" s="1">
        <v>0</v>
      </c>
      <c r="U3" s="1"/>
      <c r="V3" s="1">
        <v>7.0000000000000001E-3</v>
      </c>
      <c r="W3">
        <v>1380787</v>
      </c>
      <c r="X3">
        <v>12000</v>
      </c>
      <c r="Y3">
        <v>457331</v>
      </c>
    </row>
    <row r="4" spans="1:25">
      <c r="A4">
        <v>5</v>
      </c>
      <c r="B4" t="s">
        <v>81</v>
      </c>
      <c r="C4">
        <f t="shared" si="0"/>
        <v>3.896914304608087</v>
      </c>
      <c r="D4">
        <f t="shared" si="1"/>
        <v>77.3</v>
      </c>
      <c r="E4">
        <v>63.9</v>
      </c>
      <c r="F4">
        <v>13.4</v>
      </c>
      <c r="G4">
        <f t="shared" si="2"/>
        <v>2.4575012765148316</v>
      </c>
      <c r="H4">
        <f t="shared" si="3"/>
        <v>77.665853465586522</v>
      </c>
      <c r="I4">
        <v>9</v>
      </c>
      <c r="J4">
        <f t="shared" si="4"/>
        <v>469.04836152745958</v>
      </c>
      <c r="K4">
        <v>22</v>
      </c>
      <c r="L4">
        <f t="shared" si="5"/>
        <v>2.7283078131134668</v>
      </c>
      <c r="M4">
        <f t="shared" si="6"/>
        <v>1.4394130280932556</v>
      </c>
      <c r="N4" s="1">
        <f t="shared" si="7"/>
        <v>10.55529953090138</v>
      </c>
      <c r="O4" s="1">
        <v>5</v>
      </c>
      <c r="P4" s="1">
        <f t="shared" si="8"/>
        <v>21.869629230797276</v>
      </c>
      <c r="Q4" s="1">
        <v>198952.19399999999</v>
      </c>
      <c r="R4" s="1">
        <v>2100</v>
      </c>
      <c r="S4" s="1">
        <v>138217.58600000001</v>
      </c>
      <c r="T4" s="1">
        <v>48.643000000000001</v>
      </c>
      <c r="U4" s="1">
        <v>6582</v>
      </c>
      <c r="V4" s="1">
        <v>17.829000000000001</v>
      </c>
      <c r="W4">
        <v>5996888</v>
      </c>
      <c r="X4">
        <v>170000</v>
      </c>
      <c r="Y4">
        <v>2440238</v>
      </c>
    </row>
    <row r="5" spans="1:25">
      <c r="A5">
        <v>5</v>
      </c>
      <c r="B5" t="s">
        <v>86</v>
      </c>
      <c r="C5">
        <f t="shared" si="0"/>
        <v>3.3722456992991137</v>
      </c>
      <c r="D5">
        <f t="shared" si="1"/>
        <v>5.5</v>
      </c>
      <c r="E5">
        <v>3.8</v>
      </c>
      <c r="F5">
        <v>1.7</v>
      </c>
      <c r="G5">
        <f t="shared" si="2"/>
        <v>2.3145689185531886</v>
      </c>
      <c r="H5">
        <f t="shared" si="3"/>
        <v>123.75962471273517</v>
      </c>
      <c r="I5">
        <v>11</v>
      </c>
      <c r="J5">
        <f t="shared" si="4"/>
        <v>663.00868503600839</v>
      </c>
      <c r="K5">
        <v>41</v>
      </c>
      <c r="L5">
        <f t="shared" si="5"/>
        <v>0.93191489361702118</v>
      </c>
      <c r="M5">
        <f t="shared" si="6"/>
        <v>1.0576767807459251</v>
      </c>
      <c r="N5" s="1">
        <f t="shared" si="7"/>
        <v>121.86316201307035</v>
      </c>
      <c r="O5" s="1">
        <v>4</v>
      </c>
      <c r="P5" s="1">
        <f t="shared" si="8"/>
        <v>136.32590310571877</v>
      </c>
      <c r="Q5" s="1">
        <v>279001.45899999997</v>
      </c>
      <c r="R5" s="1">
        <v>34000</v>
      </c>
      <c r="S5" s="1">
        <v>263787.07</v>
      </c>
      <c r="T5" s="1">
        <v>1.9710000000000001</v>
      </c>
      <c r="U5" s="1"/>
      <c r="V5" s="1">
        <v>2.1150000000000002</v>
      </c>
      <c r="W5">
        <v>4626733</v>
      </c>
      <c r="X5">
        <v>209000</v>
      </c>
      <c r="Y5">
        <v>1998961</v>
      </c>
    </row>
    <row r="6" spans="1:25">
      <c r="A6">
        <v>5</v>
      </c>
      <c r="B6" t="s">
        <v>71</v>
      </c>
      <c r="C6">
        <f t="shared" si="0"/>
        <v>4.8514107564776223</v>
      </c>
      <c r="D6">
        <f t="shared" si="1"/>
        <v>1.6</v>
      </c>
      <c r="E6">
        <v>1.6</v>
      </c>
      <c r="F6">
        <v>0</v>
      </c>
      <c r="G6">
        <f t="shared" si="2"/>
        <v>4.2878831256236216</v>
      </c>
      <c r="H6">
        <f t="shared" si="3"/>
        <v>120.55031542859673</v>
      </c>
      <c r="I6">
        <v>22</v>
      </c>
      <c r="J6">
        <f t="shared" si="4"/>
        <v>2216.43107126718</v>
      </c>
      <c r="K6">
        <v>50</v>
      </c>
      <c r="L6">
        <f t="shared" si="5"/>
        <v>0</v>
      </c>
      <c r="M6">
        <f t="shared" si="6"/>
        <v>0.56352763085400037</v>
      </c>
      <c r="N6" s="1">
        <f t="shared" si="7"/>
        <v>362.3255097503345</v>
      </c>
      <c r="O6" s="1">
        <v>33</v>
      </c>
      <c r="P6" s="1">
        <f t="shared" si="8"/>
        <v>115.06131742643777</v>
      </c>
      <c r="Q6" s="1">
        <v>10322.209999999999</v>
      </c>
      <c r="R6" s="1">
        <v>3740</v>
      </c>
      <c r="S6" s="1">
        <v>18317.132000000001</v>
      </c>
      <c r="T6" s="1">
        <v>0</v>
      </c>
      <c r="U6" s="1"/>
      <c r="V6" s="1">
        <v>1E-3</v>
      </c>
      <c r="W6">
        <v>4568092</v>
      </c>
      <c r="X6">
        <v>201000</v>
      </c>
      <c r="Y6">
        <v>1065349</v>
      </c>
    </row>
    <row r="7" spans="1:25">
      <c r="A7">
        <v>5</v>
      </c>
      <c r="B7" t="s">
        <v>102</v>
      </c>
      <c r="C7">
        <f t="shared" si="0"/>
        <v>5.1175167635438887</v>
      </c>
      <c r="D7">
        <f t="shared" si="1"/>
        <v>31.3</v>
      </c>
      <c r="E7">
        <v>31.3</v>
      </c>
      <c r="F7">
        <v>0</v>
      </c>
      <c r="G7">
        <f t="shared" si="2"/>
        <v>3.1702604176175955</v>
      </c>
      <c r="H7">
        <f t="shared" si="3"/>
        <v>64.866541255098326</v>
      </c>
      <c r="I7">
        <v>33</v>
      </c>
      <c r="J7">
        <f t="shared" si="4"/>
        <v>651.94448857089139</v>
      </c>
      <c r="K7">
        <v>42</v>
      </c>
      <c r="L7">
        <f t="shared" si="5"/>
        <v>0.99762845849802384</v>
      </c>
      <c r="M7">
        <f t="shared" si="6"/>
        <v>1.947256345926293</v>
      </c>
      <c r="N7" s="1">
        <f t="shared" si="7"/>
        <v>147.09979703042094</v>
      </c>
      <c r="O7" s="1">
        <v>32</v>
      </c>
      <c r="P7" s="1">
        <f t="shared" si="8"/>
        <v>557.77408078843041</v>
      </c>
      <c r="Q7" s="1">
        <v>39089.108999999997</v>
      </c>
      <c r="R7" s="1">
        <v>5750</v>
      </c>
      <c r="S7" s="1">
        <v>20073.940999999999</v>
      </c>
      <c r="T7" s="1">
        <v>1.262</v>
      </c>
      <c r="U7" s="1"/>
      <c r="V7" s="1">
        <v>1.2649999999999999</v>
      </c>
      <c r="W7">
        <v>1562745</v>
      </c>
      <c r="X7">
        <v>37000</v>
      </c>
      <c r="Y7">
        <v>492939</v>
      </c>
    </row>
    <row r="8" spans="1:25">
      <c r="A8">
        <v>5</v>
      </c>
      <c r="B8" t="s">
        <v>59</v>
      </c>
      <c r="C8">
        <f t="shared" si="0"/>
        <v>36.272652446523736</v>
      </c>
      <c r="D8">
        <f t="shared" si="1"/>
        <v>98.9</v>
      </c>
      <c r="E8">
        <v>98.9</v>
      </c>
      <c r="F8">
        <v>0</v>
      </c>
      <c r="G8">
        <f t="shared" si="2"/>
        <v>8.564087464154035</v>
      </c>
      <c r="H8">
        <f t="shared" si="3"/>
        <v>11.057884462062795</v>
      </c>
      <c r="I8">
        <v>44</v>
      </c>
      <c r="J8">
        <f t="shared" si="4"/>
        <v>811.02498952034784</v>
      </c>
      <c r="K8">
        <v>46</v>
      </c>
      <c r="L8">
        <f t="shared" si="5"/>
        <v>0.17910447761194029</v>
      </c>
      <c r="M8">
        <f t="shared" si="6"/>
        <v>27.708564982369701</v>
      </c>
      <c r="N8" s="1">
        <f t="shared" si="7"/>
        <v>12.221392169029919</v>
      </c>
      <c r="O8" s="1">
        <v>43</v>
      </c>
      <c r="P8" s="1">
        <f t="shared" si="8"/>
        <v>9383.151944791869</v>
      </c>
      <c r="Q8" s="1">
        <v>130917.982</v>
      </c>
      <c r="R8" s="1">
        <v>1600</v>
      </c>
      <c r="S8" s="1">
        <v>4724.82</v>
      </c>
      <c r="T8" s="1">
        <v>0.12</v>
      </c>
      <c r="U8" s="1"/>
      <c r="V8" s="1">
        <v>0.67</v>
      </c>
      <c r="W8">
        <v>2006874</v>
      </c>
      <c r="X8">
        <v>8100</v>
      </c>
      <c r="Y8">
        <v>234336</v>
      </c>
    </row>
    <row r="9" spans="1:25">
      <c r="A9">
        <v>5</v>
      </c>
      <c r="B9" t="s">
        <v>98</v>
      </c>
      <c r="C9">
        <f t="shared" si="0"/>
        <v>4.0551022638728718</v>
      </c>
      <c r="D9">
        <f t="shared" si="1"/>
        <v>35.1</v>
      </c>
      <c r="E9">
        <v>17.3</v>
      </c>
      <c r="F9">
        <v>17.8</v>
      </c>
      <c r="G9">
        <f t="shared" si="2"/>
        <v>2.7705509331093028</v>
      </c>
      <c r="H9">
        <f t="shared" si="3"/>
        <v>20.808222252497028</v>
      </c>
      <c r="I9">
        <v>4</v>
      </c>
      <c r="J9">
        <f t="shared" si="4"/>
        <v>159.72292505680664</v>
      </c>
      <c r="K9">
        <v>5</v>
      </c>
      <c r="L9">
        <f t="shared" si="5"/>
        <v>1.7618344672963584</v>
      </c>
      <c r="M9">
        <f t="shared" si="6"/>
        <v>1.284551330763569</v>
      </c>
      <c r="N9" s="1">
        <f t="shared" si="7"/>
        <v>74.450077075610437</v>
      </c>
      <c r="O9" s="1">
        <v>2</v>
      </c>
      <c r="P9" s="1">
        <f t="shared" si="8"/>
        <v>122.84799661604866</v>
      </c>
      <c r="Q9" s="1">
        <v>642040.97400000005</v>
      </c>
      <c r="R9" s="1">
        <v>47800</v>
      </c>
      <c r="S9" s="1">
        <v>499817.29700000002</v>
      </c>
      <c r="T9" s="1">
        <v>476.20800000000003</v>
      </c>
      <c r="U9" s="1">
        <v>160364</v>
      </c>
      <c r="V9" s="1">
        <v>270.291</v>
      </c>
      <c r="W9">
        <v>10533244</v>
      </c>
      <c r="X9">
        <v>80000</v>
      </c>
      <c r="Y9">
        <v>3801859</v>
      </c>
    </row>
    <row r="10" spans="1:25">
      <c r="A10">
        <v>5</v>
      </c>
      <c r="B10" t="s">
        <v>75</v>
      </c>
      <c r="C10">
        <f t="shared" si="0"/>
        <v>3.9422707776460424</v>
      </c>
      <c r="D10">
        <f t="shared" si="1"/>
        <v>2.1</v>
      </c>
      <c r="E10">
        <v>2.1</v>
      </c>
      <c r="F10">
        <v>0</v>
      </c>
      <c r="G10">
        <f t="shared" si="2"/>
        <v>2.9422707776460424</v>
      </c>
      <c r="H10">
        <f t="shared" si="3"/>
        <v>67.283416280030735</v>
      </c>
      <c r="I10">
        <v>5</v>
      </c>
      <c r="J10">
        <f t="shared" si="4"/>
        <v>582.46966368488688</v>
      </c>
      <c r="K10">
        <v>47</v>
      </c>
      <c r="L10">
        <f t="shared" si="5"/>
        <v>0</v>
      </c>
      <c r="M10">
        <f t="shared" si="6"/>
        <v>1</v>
      </c>
      <c r="N10" s="1">
        <f t="shared" si="7"/>
        <v>76.427346547483779</v>
      </c>
      <c r="O10" s="1">
        <v>6</v>
      </c>
      <c r="P10" s="1">
        <f t="shared" si="8"/>
        <v>76.427346547483779</v>
      </c>
      <c r="Q10" s="1">
        <v>123385.155</v>
      </c>
      <c r="R10" s="1">
        <v>9430</v>
      </c>
      <c r="S10" s="1">
        <v>123385.155</v>
      </c>
      <c r="T10" s="1">
        <v>0</v>
      </c>
      <c r="U10" s="1"/>
      <c r="V10" s="1">
        <v>0.13200000000000001</v>
      </c>
      <c r="W10">
        <v>10872023</v>
      </c>
      <c r="X10">
        <v>267000</v>
      </c>
      <c r="Y10">
        <v>3695113</v>
      </c>
    </row>
    <row r="11" spans="1:25">
      <c r="A11">
        <v>5</v>
      </c>
      <c r="B11" t="s">
        <v>126</v>
      </c>
      <c r="C11">
        <f t="shared" si="0"/>
        <v>5.6499132516722304</v>
      </c>
      <c r="D11">
        <f t="shared" si="1"/>
        <v>30.6</v>
      </c>
      <c r="E11">
        <v>8.8000000000000007</v>
      </c>
      <c r="F11">
        <v>21.8</v>
      </c>
      <c r="G11">
        <f t="shared" si="2"/>
        <v>4.82238430377675</v>
      </c>
      <c r="H11">
        <f t="shared" si="3"/>
        <v>72.968905117948282</v>
      </c>
      <c r="I11">
        <v>25</v>
      </c>
      <c r="J11">
        <f t="shared" si="4"/>
        <v>1696.9203736310781</v>
      </c>
      <c r="K11">
        <v>36</v>
      </c>
      <c r="L11">
        <f t="shared" si="5"/>
        <v>0</v>
      </c>
      <c r="M11">
        <f t="shared" si="6"/>
        <v>0.82752894789548048</v>
      </c>
      <c r="N11" s="1">
        <f t="shared" si="7"/>
        <v>102.50583854068043</v>
      </c>
      <c r="O11" s="1">
        <v>10</v>
      </c>
      <c r="P11" s="1">
        <f t="shared" si="8"/>
        <v>70.196424616456568</v>
      </c>
      <c r="Q11" s="1">
        <v>59411.25</v>
      </c>
      <c r="R11" s="1">
        <v>6090</v>
      </c>
      <c r="S11" s="1">
        <v>71793.561000000002</v>
      </c>
      <c r="T11" s="1">
        <v>0</v>
      </c>
      <c r="U11" s="1"/>
      <c r="V11" s="1">
        <v>3.331</v>
      </c>
      <c r="W11">
        <v>4242753</v>
      </c>
      <c r="X11">
        <v>113000</v>
      </c>
      <c r="Y11">
        <v>879804</v>
      </c>
    </row>
    <row r="12" spans="1:25">
      <c r="A12">
        <v>5</v>
      </c>
      <c r="B12" t="s">
        <v>104</v>
      </c>
      <c r="C12">
        <f t="shared" si="0"/>
        <v>2.2579158145615024</v>
      </c>
      <c r="D12">
        <f t="shared" si="1"/>
        <v>43.8</v>
      </c>
      <c r="E12">
        <v>25.6</v>
      </c>
      <c r="F12">
        <v>18.2</v>
      </c>
      <c r="G12">
        <f t="shared" si="2"/>
        <v>1.1163352020062824</v>
      </c>
      <c r="H12">
        <f t="shared" si="3"/>
        <v>8.8748219868867153</v>
      </c>
      <c r="I12">
        <v>1</v>
      </c>
      <c r="J12">
        <f t="shared" si="4"/>
        <v>11.059841173036618</v>
      </c>
      <c r="K12">
        <v>3</v>
      </c>
      <c r="L12">
        <f t="shared" si="5"/>
        <v>1.2472411332678823</v>
      </c>
      <c r="M12">
        <f t="shared" si="6"/>
        <v>1.1415806125552199</v>
      </c>
      <c r="N12" s="1">
        <f t="shared" si="7"/>
        <v>16.560205537528695</v>
      </c>
      <c r="O12" s="1">
        <v>1</v>
      </c>
      <c r="P12" s="1">
        <f t="shared" si="8"/>
        <v>21.581364102371158</v>
      </c>
      <c r="Q12" s="1">
        <v>1069431.1710000001</v>
      </c>
      <c r="R12" s="1">
        <v>17710</v>
      </c>
      <c r="S12" s="1">
        <v>936798.64500000002</v>
      </c>
      <c r="T12" s="1">
        <v>464.96899999999999</v>
      </c>
      <c r="U12" s="1">
        <v>250219</v>
      </c>
      <c r="V12" s="1">
        <v>372.798</v>
      </c>
      <c r="W12">
        <v>22844371</v>
      </c>
      <c r="X12">
        <v>74000</v>
      </c>
      <c r="Y12">
        <v>20463720</v>
      </c>
    </row>
    <row r="13" spans="1:25">
      <c r="A13">
        <v>4</v>
      </c>
      <c r="B13" t="s">
        <v>80</v>
      </c>
      <c r="C13">
        <f t="shared" si="0"/>
        <v>2.2172096958465697</v>
      </c>
      <c r="D13">
        <f t="shared" si="1"/>
        <v>42</v>
      </c>
      <c r="E13">
        <v>34.6</v>
      </c>
      <c r="F13">
        <v>7.4</v>
      </c>
      <c r="G13">
        <f t="shared" si="2"/>
        <v>1.2142101601883</v>
      </c>
      <c r="H13">
        <f t="shared" si="3"/>
        <v>9.2150896847852621</v>
      </c>
      <c r="I13">
        <v>29</v>
      </c>
      <c r="J13">
        <f t="shared" si="4"/>
        <v>13.585864898103042</v>
      </c>
      <c r="K13">
        <v>43</v>
      </c>
      <c r="L13">
        <f t="shared" si="5"/>
        <v>1.9029495718363464E-3</v>
      </c>
      <c r="M13">
        <f t="shared" si="6"/>
        <v>1.0029995356582697</v>
      </c>
      <c r="N13" s="1">
        <f t="shared" si="7"/>
        <v>10.410405548784635</v>
      </c>
      <c r="O13" s="1">
        <v>21</v>
      </c>
      <c r="P13" s="1">
        <f t="shared" si="8"/>
        <v>10.472951978754161</v>
      </c>
      <c r="Q13" s="1">
        <v>46780.118000000002</v>
      </c>
      <c r="R13" s="1">
        <v>487</v>
      </c>
      <c r="S13" s="1">
        <v>46640.218999999997</v>
      </c>
      <c r="T13" s="1">
        <v>2E-3</v>
      </c>
      <c r="U13" s="1"/>
      <c r="V13" s="1">
        <v>1.0509999999999999</v>
      </c>
      <c r="W13">
        <v>891926</v>
      </c>
      <c r="X13">
        <v>3000</v>
      </c>
      <c r="Y13">
        <v>734573</v>
      </c>
    </row>
    <row r="14" spans="1:25">
      <c r="A14">
        <v>4</v>
      </c>
      <c r="B14" t="s">
        <v>74</v>
      </c>
      <c r="C14">
        <f t="shared" si="0"/>
        <v>3.4334009291975298</v>
      </c>
      <c r="D14">
        <f t="shared" si="1"/>
        <v>38.700000000000003</v>
      </c>
      <c r="E14">
        <v>38.700000000000003</v>
      </c>
      <c r="F14">
        <v>0</v>
      </c>
      <c r="G14">
        <f t="shared" si="2"/>
        <v>0.343179153356097</v>
      </c>
      <c r="H14">
        <f t="shared" si="3"/>
        <v>16.727958953770717</v>
      </c>
      <c r="I14">
        <v>20</v>
      </c>
      <c r="J14">
        <f t="shared" si="4"/>
        <v>1.9700840326627205</v>
      </c>
      <c r="K14">
        <v>12</v>
      </c>
      <c r="L14">
        <f t="shared" si="5"/>
        <v>5.0618912601186095</v>
      </c>
      <c r="M14">
        <f t="shared" si="6"/>
        <v>3.090221775841433</v>
      </c>
      <c r="N14" s="1">
        <f t="shared" si="7"/>
        <v>21.225384000546054</v>
      </c>
      <c r="O14" s="1">
        <v>19</v>
      </c>
      <c r="P14" s="1">
        <f t="shared" si="8"/>
        <v>202.69118099388427</v>
      </c>
      <c r="Q14" s="1">
        <v>152176.28099999999</v>
      </c>
      <c r="R14" s="1">
        <v>3230</v>
      </c>
      <c r="S14" s="1">
        <v>49244.453000000001</v>
      </c>
      <c r="T14" s="1">
        <v>467.73899999999998</v>
      </c>
      <c r="U14" s="1">
        <v>147435</v>
      </c>
      <c r="V14" s="1">
        <v>92.403999999999996</v>
      </c>
      <c r="W14">
        <v>393075</v>
      </c>
      <c r="X14">
        <v>2400</v>
      </c>
      <c r="Y14">
        <v>1145393</v>
      </c>
    </row>
    <row r="15" spans="1:25">
      <c r="A15">
        <v>4</v>
      </c>
      <c r="B15" t="s">
        <v>101</v>
      </c>
      <c r="C15">
        <f t="shared" si="0"/>
        <v>2.0366389309479098</v>
      </c>
      <c r="D15">
        <f t="shared" si="1"/>
        <v>88.899999999999991</v>
      </c>
      <c r="E15">
        <v>86.6</v>
      </c>
      <c r="F15">
        <v>2.2999999999999998</v>
      </c>
      <c r="G15">
        <f t="shared" si="2"/>
        <v>1.3084590249392662</v>
      </c>
      <c r="H15">
        <f t="shared" si="3"/>
        <v>8.3273062319273023</v>
      </c>
      <c r="I15">
        <v>6</v>
      </c>
      <c r="J15">
        <f t="shared" si="4"/>
        <v>14.256889710052867</v>
      </c>
      <c r="K15">
        <v>19</v>
      </c>
      <c r="L15">
        <f t="shared" si="5"/>
        <v>0.26608596690886804</v>
      </c>
      <c r="M15">
        <f t="shared" si="6"/>
        <v>0.7281799060086438</v>
      </c>
      <c r="N15" s="1">
        <f t="shared" si="7"/>
        <v>16.715151146076597</v>
      </c>
      <c r="O15" s="1">
        <v>26</v>
      </c>
      <c r="P15" s="1">
        <f t="shared" si="8"/>
        <v>8.863141625327998</v>
      </c>
      <c r="Q15" s="1">
        <v>22135.606</v>
      </c>
      <c r="R15" s="1">
        <v>370</v>
      </c>
      <c r="S15" s="1">
        <v>30398.54</v>
      </c>
      <c r="T15" s="1">
        <v>6.0789999999999997</v>
      </c>
      <c r="U15" s="1">
        <v>6596</v>
      </c>
      <c r="V15" s="1">
        <v>22.846</v>
      </c>
      <c r="W15">
        <v>4277066</v>
      </c>
      <c r="X15">
        <v>13000</v>
      </c>
      <c r="Y15">
        <v>3268781</v>
      </c>
    </row>
    <row r="16" spans="1:25">
      <c r="A16">
        <v>4</v>
      </c>
      <c r="B16" t="s">
        <v>106</v>
      </c>
      <c r="C16">
        <f t="shared" si="0"/>
        <v>0.93411328212027023</v>
      </c>
      <c r="D16">
        <f t="shared" si="1"/>
        <v>41.82</v>
      </c>
      <c r="E16">
        <v>37</v>
      </c>
      <c r="F16">
        <v>4.82</v>
      </c>
      <c r="G16">
        <f t="shared" si="2"/>
        <v>0.32584980723905438</v>
      </c>
      <c r="H16">
        <f t="shared" si="3"/>
        <v>13.353653896629076</v>
      </c>
      <c r="I16">
        <v>2</v>
      </c>
      <c r="J16">
        <f t="shared" si="4"/>
        <v>1.4178655571079439</v>
      </c>
      <c r="K16">
        <v>1</v>
      </c>
      <c r="L16">
        <f t="shared" si="5"/>
        <v>0.88988276795218058</v>
      </c>
      <c r="M16">
        <f t="shared" si="6"/>
        <v>0.60826347488121579</v>
      </c>
      <c r="N16" s="1">
        <f t="shared" si="7"/>
        <v>25.730950326953707</v>
      </c>
      <c r="O16" s="1">
        <v>3</v>
      </c>
      <c r="P16" s="1">
        <f t="shared" si="8"/>
        <v>9.5200516301226425</v>
      </c>
      <c r="Q16" s="1">
        <v>258443.622</v>
      </c>
      <c r="R16" s="1">
        <v>6650</v>
      </c>
      <c r="S16" s="1">
        <v>424887.62300000002</v>
      </c>
      <c r="T16" s="1">
        <v>4402.5010000000002</v>
      </c>
      <c r="U16" s="1">
        <v>138819</v>
      </c>
      <c r="V16" s="1">
        <v>4947.2820000000002</v>
      </c>
      <c r="W16">
        <v>5334336</v>
      </c>
      <c r="X16">
        <v>26000</v>
      </c>
      <c r="Y16">
        <v>16370536</v>
      </c>
    </row>
    <row r="17" spans="1:25">
      <c r="A17">
        <v>4</v>
      </c>
      <c r="B17" t="s">
        <v>84</v>
      </c>
      <c r="C17">
        <f t="shared" si="0"/>
        <v>2.975613552486732</v>
      </c>
      <c r="D17">
        <f t="shared" si="1"/>
        <v>77.099999999999994</v>
      </c>
      <c r="E17">
        <v>77.099999999999994</v>
      </c>
      <c r="F17">
        <v>0</v>
      </c>
      <c r="G17">
        <f t="shared" si="2"/>
        <v>2.1612609800206681</v>
      </c>
      <c r="H17">
        <f t="shared" si="3"/>
        <v>6.8229613801622744</v>
      </c>
      <c r="I17">
        <v>38</v>
      </c>
      <c r="J17">
        <f t="shared" si="4"/>
        <v>31.870387093958485</v>
      </c>
      <c r="K17">
        <v>25</v>
      </c>
      <c r="L17">
        <f t="shared" si="5"/>
        <v>4.4675384615384619</v>
      </c>
      <c r="M17">
        <f t="shared" si="6"/>
        <v>0.81435257246606385</v>
      </c>
      <c r="N17" s="1">
        <f t="shared" si="7"/>
        <v>8.7218202200931501</v>
      </c>
      <c r="O17" s="1">
        <v>37</v>
      </c>
      <c r="P17" s="1">
        <f t="shared" si="8"/>
        <v>5.7840504946634272</v>
      </c>
      <c r="Q17" s="1">
        <v>10089.637000000001</v>
      </c>
      <c r="R17" s="1">
        <v>88</v>
      </c>
      <c r="S17" s="1">
        <v>12389.764999999999</v>
      </c>
      <c r="T17" s="1">
        <v>58.078000000000003</v>
      </c>
      <c r="U17" s="1">
        <v>4881</v>
      </c>
      <c r="V17" s="1">
        <v>13</v>
      </c>
      <c r="W17">
        <v>803090</v>
      </c>
      <c r="X17">
        <v>2000</v>
      </c>
      <c r="Y17">
        <v>371584</v>
      </c>
    </row>
    <row r="18" spans="1:25">
      <c r="A18">
        <v>4</v>
      </c>
      <c r="B18" t="s">
        <v>60</v>
      </c>
      <c r="C18">
        <f t="shared" si="0"/>
        <v>1.4288610509174677</v>
      </c>
      <c r="D18">
        <f t="shared" si="1"/>
        <v>91.3</v>
      </c>
      <c r="E18">
        <v>91.3</v>
      </c>
      <c r="F18">
        <v>0</v>
      </c>
      <c r="G18">
        <f t="shared" si="2"/>
        <v>0.44547993804688846</v>
      </c>
      <c r="H18">
        <f t="shared" si="3"/>
        <v>16.282693613439086</v>
      </c>
      <c r="I18">
        <v>49</v>
      </c>
      <c r="J18">
        <f t="shared" si="4"/>
        <v>3.2313392222776494</v>
      </c>
      <c r="K18">
        <v>45</v>
      </c>
      <c r="L18">
        <f t="shared" si="5"/>
        <v>0</v>
      </c>
      <c r="M18">
        <f t="shared" si="6"/>
        <v>0.98338111287057928</v>
      </c>
      <c r="N18" s="1">
        <f t="shared" si="7"/>
        <v>13.333831129695508</v>
      </c>
      <c r="O18" s="1">
        <v>47</v>
      </c>
      <c r="P18" s="1">
        <f t="shared" si="8"/>
        <v>12.894326896878537</v>
      </c>
      <c r="Q18" s="1">
        <v>2249.9160000000002</v>
      </c>
      <c r="R18" s="1">
        <v>30</v>
      </c>
      <c r="S18" s="1">
        <v>2287.9389999999999</v>
      </c>
      <c r="T18" s="1">
        <v>0</v>
      </c>
      <c r="U18" s="1"/>
      <c r="V18" s="1">
        <v>0.76100000000000001</v>
      </c>
      <c r="W18">
        <v>67304</v>
      </c>
      <c r="X18">
        <v>400</v>
      </c>
      <c r="Y18">
        <v>151082</v>
      </c>
    </row>
    <row r="19" spans="1:25">
      <c r="A19">
        <v>4</v>
      </c>
      <c r="B19" t="s">
        <v>103</v>
      </c>
      <c r="C19">
        <f t="shared" si="0"/>
        <v>1.9120901906098449</v>
      </c>
      <c r="D19">
        <f t="shared" si="1"/>
        <v>18</v>
      </c>
      <c r="E19">
        <v>18</v>
      </c>
      <c r="F19">
        <v>0</v>
      </c>
      <c r="G19">
        <f t="shared" si="2"/>
        <v>0.51535659180524607</v>
      </c>
      <c r="H19">
        <f t="shared" si="3"/>
        <v>8.1374681371331992</v>
      </c>
      <c r="I19">
        <v>13</v>
      </c>
      <c r="J19">
        <f t="shared" si="4"/>
        <v>2.1612498284997588</v>
      </c>
      <c r="K19">
        <v>4</v>
      </c>
      <c r="L19">
        <f t="shared" si="5"/>
        <v>2.819171716558587</v>
      </c>
      <c r="M19">
        <f t="shared" si="6"/>
        <v>1.3967335988045988</v>
      </c>
      <c r="N19" s="1">
        <f t="shared" si="7"/>
        <v>14.327286545028864</v>
      </c>
      <c r="O19" s="1">
        <v>18</v>
      </c>
      <c r="P19" s="1">
        <f t="shared" si="8"/>
        <v>27.950598226961699</v>
      </c>
      <c r="Q19" s="1">
        <v>69796.887000000002</v>
      </c>
      <c r="R19" s="1">
        <v>1000</v>
      </c>
      <c r="S19" s="1">
        <v>49971.51</v>
      </c>
      <c r="T19" s="1">
        <v>836</v>
      </c>
      <c r="U19" s="1">
        <v>37000</v>
      </c>
      <c r="V19" s="1">
        <v>296.541</v>
      </c>
      <c r="W19">
        <v>841701</v>
      </c>
      <c r="X19">
        <v>2500</v>
      </c>
      <c r="Y19">
        <v>1633240</v>
      </c>
    </row>
    <row r="20" spans="1:25">
      <c r="A20">
        <v>4</v>
      </c>
      <c r="B20" t="s">
        <v>78</v>
      </c>
      <c r="C20">
        <f t="shared" si="0"/>
        <v>2.4652339771135132</v>
      </c>
      <c r="D20">
        <f t="shared" si="1"/>
        <v>20.6</v>
      </c>
      <c r="E20">
        <v>20.6</v>
      </c>
      <c r="F20">
        <v>0</v>
      </c>
      <c r="G20">
        <f t="shared" si="2"/>
        <v>0.76525206394757417</v>
      </c>
      <c r="H20">
        <f t="shared" si="3"/>
        <v>17.251204152019817</v>
      </c>
      <c r="I20">
        <v>27</v>
      </c>
      <c r="J20">
        <f t="shared" si="4"/>
        <v>10.102490108069352</v>
      </c>
      <c r="K20">
        <v>17</v>
      </c>
      <c r="L20">
        <f t="shared" si="5"/>
        <v>7.874518332899931E-2</v>
      </c>
      <c r="M20">
        <f t="shared" si="6"/>
        <v>1.6999819131659388</v>
      </c>
      <c r="N20" s="1">
        <f t="shared" si="7"/>
        <v>14.892468003997882</v>
      </c>
      <c r="O20" s="1">
        <v>20</v>
      </c>
      <c r="P20" s="1">
        <f t="shared" si="8"/>
        <v>43.03831672059404</v>
      </c>
      <c r="Q20" s="1">
        <v>80577.645000000004</v>
      </c>
      <c r="R20" s="1">
        <v>1200</v>
      </c>
      <c r="S20" s="1">
        <v>47399.118999999999</v>
      </c>
      <c r="T20" s="1">
        <v>3.331</v>
      </c>
      <c r="U20" s="1"/>
      <c r="V20" s="1">
        <v>42.301000000000002</v>
      </c>
      <c r="W20">
        <v>571729</v>
      </c>
      <c r="X20">
        <v>3600</v>
      </c>
      <c r="Y20">
        <v>747112</v>
      </c>
    </row>
    <row r="21" spans="1:25">
      <c r="A21">
        <v>3</v>
      </c>
      <c r="B21" t="s">
        <v>89</v>
      </c>
      <c r="C21">
        <f t="shared" si="0"/>
        <v>1.4635637320465424</v>
      </c>
      <c r="D21">
        <f t="shared" si="1"/>
        <v>13</v>
      </c>
      <c r="E21">
        <v>13</v>
      </c>
      <c r="F21">
        <v>0</v>
      </c>
      <c r="G21">
        <f t="shared" si="2"/>
        <v>0.66593120957504681</v>
      </c>
      <c r="H21">
        <f t="shared" si="3"/>
        <v>14.149772035381032</v>
      </c>
      <c r="I21">
        <v>23</v>
      </c>
      <c r="J21">
        <f t="shared" si="4"/>
        <v>6.2749198246006266</v>
      </c>
      <c r="K21">
        <v>32</v>
      </c>
      <c r="L21">
        <f t="shared" si="5"/>
        <v>0</v>
      </c>
      <c r="M21">
        <f t="shared" si="6"/>
        <v>0.79763252247149563</v>
      </c>
      <c r="N21" s="1">
        <f t="shared" si="7"/>
        <v>37.916845156704426</v>
      </c>
      <c r="O21" s="1">
        <v>15</v>
      </c>
      <c r="P21" s="1">
        <f t="shared" si="8"/>
        <v>24.123365776129884</v>
      </c>
      <c r="Q21" s="1">
        <v>47472.303999999996</v>
      </c>
      <c r="R21" s="1">
        <v>1800</v>
      </c>
      <c r="S21" s="1">
        <v>59516.51</v>
      </c>
      <c r="T21" s="1">
        <v>0</v>
      </c>
      <c r="U21" s="1"/>
      <c r="V21" s="1">
        <v>4.4580000000000002</v>
      </c>
      <c r="W21">
        <v>638957</v>
      </c>
      <c r="X21">
        <v>3300</v>
      </c>
      <c r="Y21">
        <v>959494</v>
      </c>
    </row>
    <row r="22" spans="1:25">
      <c r="A22">
        <v>3</v>
      </c>
      <c r="B22" t="s">
        <v>96</v>
      </c>
      <c r="C22">
        <f t="shared" si="0"/>
        <v>1.4118037839618895</v>
      </c>
      <c r="D22">
        <f t="shared" si="1"/>
        <v>28</v>
      </c>
      <c r="E22">
        <v>23.2</v>
      </c>
      <c r="F22">
        <v>4.8</v>
      </c>
      <c r="G22">
        <f t="shared" si="2"/>
        <v>1.091918471622622</v>
      </c>
      <c r="H22">
        <f t="shared" si="3"/>
        <v>8.1761714205198466</v>
      </c>
      <c r="I22">
        <v>12</v>
      </c>
      <c r="J22">
        <f t="shared" si="4"/>
        <v>9.7483342986086292</v>
      </c>
      <c r="K22">
        <v>24</v>
      </c>
      <c r="L22">
        <f t="shared" si="5"/>
        <v>0.39186398678414092</v>
      </c>
      <c r="M22">
        <f t="shared" si="6"/>
        <v>0.31988531233926748</v>
      </c>
      <c r="N22" s="1">
        <f t="shared" si="7"/>
        <v>5.7538077980781708</v>
      </c>
      <c r="O22" s="1">
        <v>7</v>
      </c>
      <c r="P22" s="1">
        <f t="shared" si="8"/>
        <v>0.5887676641202656</v>
      </c>
      <c r="Q22" s="1">
        <v>31283.631000000001</v>
      </c>
      <c r="R22" s="1">
        <v>180</v>
      </c>
      <c r="S22" s="1">
        <v>97796.396999999997</v>
      </c>
      <c r="T22" s="1">
        <v>5.6929999999999996</v>
      </c>
      <c r="U22" s="1">
        <v>1211</v>
      </c>
      <c r="V22" s="1">
        <v>14.528</v>
      </c>
      <c r="W22">
        <v>2010520</v>
      </c>
      <c r="X22">
        <v>6000</v>
      </c>
      <c r="Y22">
        <v>1841273</v>
      </c>
    </row>
    <row r="23" spans="1:25">
      <c r="A23">
        <v>3</v>
      </c>
      <c r="B23" t="s">
        <v>100</v>
      </c>
      <c r="C23">
        <f t="shared" si="0"/>
        <v>0.87009079056852323</v>
      </c>
      <c r="D23">
        <f t="shared" si="1"/>
        <v>63.5</v>
      </c>
      <c r="E23">
        <v>46.8</v>
      </c>
      <c r="F23">
        <v>16.7</v>
      </c>
      <c r="G23">
        <f t="shared" si="2"/>
        <v>0.16991431874428756</v>
      </c>
      <c r="H23">
        <f t="shared" si="3"/>
        <v>16.823410381188197</v>
      </c>
      <c r="I23">
        <v>34</v>
      </c>
      <c r="J23">
        <f t="shared" si="4"/>
        <v>0.4857065902065435</v>
      </c>
      <c r="K23">
        <v>21</v>
      </c>
      <c r="L23">
        <f t="shared" si="5"/>
        <v>0.66623944844654615</v>
      </c>
      <c r="M23">
        <f t="shared" si="6"/>
        <v>0.7001764718242357</v>
      </c>
      <c r="N23" s="1">
        <f t="shared" si="7"/>
        <v>24.455324991580529</v>
      </c>
      <c r="O23" s="1">
        <v>23</v>
      </c>
      <c r="P23" s="1">
        <f t="shared" si="8"/>
        <v>11.9891519536086</v>
      </c>
      <c r="Q23" s="1">
        <v>24125.625</v>
      </c>
      <c r="R23" s="1">
        <v>590</v>
      </c>
      <c r="S23" s="1">
        <v>34456.491999999998</v>
      </c>
      <c r="T23" s="1">
        <v>15.074999999999999</v>
      </c>
      <c r="U23" s="1">
        <v>3064</v>
      </c>
      <c r="V23" s="1">
        <v>22.626999999999999</v>
      </c>
      <c r="W23">
        <v>81426</v>
      </c>
      <c r="X23">
        <v>500</v>
      </c>
      <c r="Y23">
        <v>479218</v>
      </c>
    </row>
    <row r="24" spans="1:25">
      <c r="A24">
        <v>3</v>
      </c>
      <c r="B24" t="s">
        <v>68</v>
      </c>
      <c r="C24">
        <f t="shared" si="0"/>
        <v>1.3226486916906757</v>
      </c>
      <c r="D24">
        <f t="shared" si="1"/>
        <v>66.900000000000006</v>
      </c>
      <c r="E24">
        <v>47.1</v>
      </c>
      <c r="F24">
        <v>19.8</v>
      </c>
      <c r="G24">
        <f t="shared" si="2"/>
        <v>0.32957368153907657</v>
      </c>
      <c r="H24">
        <f t="shared" si="3"/>
        <v>22.404127138940687</v>
      </c>
      <c r="I24">
        <v>45</v>
      </c>
      <c r="J24">
        <f t="shared" si="4"/>
        <v>2.4335096639430365</v>
      </c>
      <c r="K24">
        <v>26</v>
      </c>
      <c r="L24">
        <f t="shared" si="5"/>
        <v>0.98737353933024863</v>
      </c>
      <c r="M24">
        <f t="shared" si="6"/>
        <v>0.99307501015159905</v>
      </c>
      <c r="N24" s="1">
        <f t="shared" si="7"/>
        <v>10.918439475486903</v>
      </c>
      <c r="O24" s="1">
        <v>38</v>
      </c>
      <c r="P24" s="1">
        <f t="shared" si="8"/>
        <v>10.767742909484593</v>
      </c>
      <c r="Q24" s="1">
        <v>9158.8179999999993</v>
      </c>
      <c r="R24" s="1">
        <v>100</v>
      </c>
      <c r="S24" s="1">
        <v>9222.6849999999995</v>
      </c>
      <c r="T24" s="1">
        <v>12.59</v>
      </c>
      <c r="U24" s="1"/>
      <c r="V24" s="1">
        <v>12.750999999999999</v>
      </c>
      <c r="W24">
        <v>73372</v>
      </c>
      <c r="X24">
        <v>600</v>
      </c>
      <c r="Y24">
        <v>222627</v>
      </c>
    </row>
    <row r="25" spans="1:25">
      <c r="A25">
        <v>3</v>
      </c>
      <c r="B25" t="s">
        <v>67</v>
      </c>
      <c r="C25">
        <f t="shared" si="0"/>
        <v>5.2466019710075043E-2</v>
      </c>
      <c r="D25">
        <f t="shared" si="1"/>
        <v>100</v>
      </c>
      <c r="E25">
        <v>70.900000000000006</v>
      </c>
      <c r="F25">
        <v>29.1</v>
      </c>
      <c r="G25">
        <f t="shared" si="2"/>
        <v>5.2466019710075043E-2</v>
      </c>
      <c r="H25">
        <f t="shared" si="3"/>
        <v>0</v>
      </c>
      <c r="I25">
        <v>42</v>
      </c>
      <c r="J25">
        <f>G25*H25</f>
        <v>0</v>
      </c>
      <c r="K25">
        <v>39</v>
      </c>
      <c r="L25">
        <f t="shared" si="5"/>
        <v>0</v>
      </c>
      <c r="M25">
        <f t="shared" si="6"/>
        <v>0</v>
      </c>
      <c r="N25" s="1" t="e">
        <f t="shared" si="7"/>
        <v>#DIV/0!</v>
      </c>
      <c r="O25" s="1">
        <v>49</v>
      </c>
      <c r="P25" s="1" t="e">
        <f t="shared" si="8"/>
        <v>#DIV/0!</v>
      </c>
      <c r="Q25" s="1">
        <v>0</v>
      </c>
      <c r="R25" s="1"/>
      <c r="S25" s="1">
        <v>933.88</v>
      </c>
      <c r="T25" s="1">
        <v>0</v>
      </c>
      <c r="U25" s="1"/>
      <c r="V25" s="1">
        <v>2.2749999999999999</v>
      </c>
      <c r="W25">
        <v>13927</v>
      </c>
      <c r="Y25">
        <v>265448</v>
      </c>
    </row>
    <row r="26" spans="1:25">
      <c r="A26">
        <v>3</v>
      </c>
      <c r="B26" t="s">
        <v>65</v>
      </c>
      <c r="C26">
        <f t="shared" si="0"/>
        <v>6.268770313078537E-3</v>
      </c>
      <c r="D26">
        <f t="shared" si="1"/>
        <v>96.4</v>
      </c>
      <c r="E26">
        <v>67.8</v>
      </c>
      <c r="F26">
        <v>28.6</v>
      </c>
      <c r="G26">
        <f t="shared" si="2"/>
        <v>6.268770313078537E-3</v>
      </c>
      <c r="H26">
        <f t="shared" si="3"/>
        <v>0</v>
      </c>
      <c r="I26">
        <v>48</v>
      </c>
      <c r="J26">
        <f>G26*H26</f>
        <v>0</v>
      </c>
      <c r="K26">
        <v>48</v>
      </c>
      <c r="L26">
        <f t="shared" si="5"/>
        <v>0</v>
      </c>
      <c r="M26">
        <f t="shared" si="6"/>
        <v>0</v>
      </c>
      <c r="N26" s="1" t="e">
        <f t="shared" si="7"/>
        <v>#DIV/0!</v>
      </c>
      <c r="O26" s="1">
        <v>46</v>
      </c>
      <c r="P26" s="1" t="e">
        <f t="shared" si="8"/>
        <v>#DIV/0!</v>
      </c>
      <c r="Q26" s="1">
        <v>0</v>
      </c>
      <c r="R26" s="1"/>
      <c r="S26" s="1">
        <v>2975.4090000000001</v>
      </c>
      <c r="T26" s="1">
        <v>0</v>
      </c>
      <c r="U26" s="1"/>
      <c r="V26" s="1">
        <v>0.105</v>
      </c>
      <c r="W26">
        <v>1219</v>
      </c>
      <c r="Y26">
        <v>194456</v>
      </c>
    </row>
    <row r="27" spans="1:25">
      <c r="A27">
        <v>3</v>
      </c>
      <c r="B27" t="s">
        <v>91</v>
      </c>
      <c r="C27">
        <f t="shared" si="0"/>
        <v>0.15068473830809162</v>
      </c>
      <c r="D27">
        <f t="shared" si="1"/>
        <v>43.2</v>
      </c>
      <c r="E27">
        <v>43.2</v>
      </c>
      <c r="F27">
        <v>0</v>
      </c>
      <c r="G27">
        <f t="shared" si="2"/>
        <v>0.10823918579200914</v>
      </c>
      <c r="H27">
        <f t="shared" si="3"/>
        <v>32.010151790996574</v>
      </c>
      <c r="I27">
        <v>21</v>
      </c>
      <c r="J27">
        <f>G27^2*H27</f>
        <v>0.37502201846377348</v>
      </c>
      <c r="K27">
        <v>9</v>
      </c>
      <c r="L27">
        <f t="shared" si="5"/>
        <v>0.66265707047829958</v>
      </c>
      <c r="M27">
        <f t="shared" si="6"/>
        <v>4.2445552516082487E-2</v>
      </c>
      <c r="N27" s="1">
        <f t="shared" si="7"/>
        <v>314.27192931980045</v>
      </c>
      <c r="O27" s="1">
        <v>16</v>
      </c>
      <c r="P27" s="1">
        <f t="shared" si="8"/>
        <v>0.56620014215750625</v>
      </c>
      <c r="Q27" s="1">
        <v>2259.19</v>
      </c>
      <c r="R27" s="1">
        <v>710</v>
      </c>
      <c r="S27" s="1">
        <v>53225.599999999999</v>
      </c>
      <c r="T27" s="1">
        <v>78.998000000000005</v>
      </c>
      <c r="U27" s="1">
        <v>11526</v>
      </c>
      <c r="V27" s="1">
        <v>119.214</v>
      </c>
      <c r="W27">
        <v>119825</v>
      </c>
      <c r="X27">
        <v>1400</v>
      </c>
      <c r="Y27">
        <v>1107039</v>
      </c>
    </row>
    <row r="28" spans="1:25">
      <c r="A28">
        <v>3</v>
      </c>
      <c r="B28" t="s">
        <v>79</v>
      </c>
      <c r="C28">
        <f t="shared" si="0"/>
        <v>0.90760404597070643</v>
      </c>
      <c r="D28">
        <f t="shared" si="1"/>
        <v>71.5</v>
      </c>
      <c r="E28">
        <v>16.5</v>
      </c>
      <c r="F28">
        <v>55</v>
      </c>
      <c r="G28">
        <f t="shared" si="2"/>
        <v>3.5095141533060044E-2</v>
      </c>
      <c r="H28">
        <f t="shared" si="3"/>
        <v>151.8484704113765</v>
      </c>
      <c r="I28">
        <v>47</v>
      </c>
      <c r="J28">
        <f>G28^2*H28</f>
        <v>0.18702704751156665</v>
      </c>
      <c r="K28">
        <v>20</v>
      </c>
      <c r="L28">
        <f t="shared" si="5"/>
        <v>0.86778455730652737</v>
      </c>
      <c r="M28">
        <f t="shared" si="6"/>
        <v>0.87250890443764639</v>
      </c>
      <c r="N28" s="1">
        <f t="shared" si="7"/>
        <v>60.554024180983419</v>
      </c>
      <c r="O28" s="1">
        <v>31</v>
      </c>
      <c r="P28" s="1">
        <f t="shared" si="8"/>
        <v>46.09807027841034</v>
      </c>
      <c r="Q28" s="1">
        <v>18165.597000000002</v>
      </c>
      <c r="R28" s="1">
        <v>1100</v>
      </c>
      <c r="S28" s="1">
        <v>20819.955999999998</v>
      </c>
      <c r="T28" s="1">
        <v>19.768999999999998</v>
      </c>
      <c r="U28" s="1">
        <v>34375</v>
      </c>
      <c r="V28" s="1">
        <v>22.780999999999999</v>
      </c>
      <c r="W28">
        <v>7217</v>
      </c>
      <c r="X28">
        <v>400</v>
      </c>
      <c r="Y28">
        <v>205641</v>
      </c>
    </row>
    <row r="29" spans="1:25">
      <c r="A29">
        <v>3</v>
      </c>
      <c r="B29" t="s">
        <v>90</v>
      </c>
      <c r="C29">
        <f t="shared" si="0"/>
        <v>1.0224478189079078</v>
      </c>
      <c r="D29">
        <f t="shared" si="1"/>
        <v>64.3</v>
      </c>
      <c r="E29">
        <v>52</v>
      </c>
      <c r="F29">
        <v>12.3</v>
      </c>
      <c r="G29">
        <f t="shared" si="2"/>
        <v>0.52943292652338736</v>
      </c>
      <c r="H29">
        <f t="shared" si="3"/>
        <v>9.2711661836512693</v>
      </c>
      <c r="I29">
        <v>16</v>
      </c>
      <c r="J29">
        <f>G29^2*H29</f>
        <v>2.5987006839517157</v>
      </c>
      <c r="K29">
        <v>40</v>
      </c>
      <c r="L29">
        <f t="shared" si="5"/>
        <v>4.7157338034376377E-2</v>
      </c>
      <c r="M29">
        <f t="shared" si="6"/>
        <v>0.49301489238452051</v>
      </c>
      <c r="N29" s="1">
        <f t="shared" si="7"/>
        <v>5.8407553109014581</v>
      </c>
      <c r="O29" s="1">
        <v>13</v>
      </c>
      <c r="P29" s="1">
        <f t="shared" si="8"/>
        <v>1.4196755038698139</v>
      </c>
      <c r="Q29" s="1">
        <v>30817.932000000001</v>
      </c>
      <c r="R29" s="1">
        <v>180</v>
      </c>
      <c r="S29" s="1">
        <v>62509.13</v>
      </c>
      <c r="T29" s="1">
        <v>0.107</v>
      </c>
      <c r="U29" s="1"/>
      <c r="V29" s="1">
        <v>2.2690000000000001</v>
      </c>
      <c r="W29">
        <v>738776</v>
      </c>
      <c r="X29">
        <v>2500</v>
      </c>
      <c r="Y29">
        <v>1395410</v>
      </c>
    </row>
    <row r="30" spans="1:25">
      <c r="A30">
        <v>3</v>
      </c>
      <c r="B30" t="s">
        <v>95</v>
      </c>
      <c r="C30">
        <f t="shared" si="0"/>
        <v>1.2960572138550872</v>
      </c>
      <c r="D30">
        <f t="shared" si="1"/>
        <v>45.3</v>
      </c>
      <c r="E30">
        <v>45.3</v>
      </c>
      <c r="F30">
        <v>0</v>
      </c>
      <c r="G30">
        <f t="shared" si="2"/>
        <v>0.35511636870562552</v>
      </c>
      <c r="H30">
        <f t="shared" si="3"/>
        <v>61.140021000207675</v>
      </c>
      <c r="I30">
        <v>32</v>
      </c>
      <c r="J30">
        <f>G30^2*H30</f>
        <v>7.7102234719145608</v>
      </c>
      <c r="K30">
        <v>11</v>
      </c>
      <c r="L30">
        <f t="shared" si="5"/>
        <v>0.47542938677286428</v>
      </c>
      <c r="M30">
        <f t="shared" si="6"/>
        <v>0.94094084514946175</v>
      </c>
      <c r="N30" s="1">
        <f t="shared" si="7"/>
        <v>111.43288883643348</v>
      </c>
      <c r="O30" s="1">
        <v>40</v>
      </c>
      <c r="P30" s="1">
        <f t="shared" si="8"/>
        <v>98.659300469856646</v>
      </c>
      <c r="Q30" s="1">
        <v>6371.5479999999998</v>
      </c>
      <c r="R30" s="1">
        <v>710</v>
      </c>
      <c r="S30" s="1">
        <v>6771.4650000000001</v>
      </c>
      <c r="T30" s="1">
        <v>44.649000000000001</v>
      </c>
      <c r="U30" s="1">
        <v>3360</v>
      </c>
      <c r="V30" s="1">
        <v>93.912999999999997</v>
      </c>
      <c r="W30">
        <v>197167</v>
      </c>
      <c r="X30">
        <v>4400</v>
      </c>
      <c r="Y30">
        <v>555218</v>
      </c>
    </row>
    <row r="31" spans="1:25">
      <c r="A31">
        <v>2</v>
      </c>
      <c r="B31" t="s">
        <v>64</v>
      </c>
      <c r="C31">
        <f t="shared" si="0"/>
        <v>0.17180086909576123</v>
      </c>
      <c r="D31">
        <f t="shared" si="1"/>
        <v>83.6</v>
      </c>
      <c r="E31">
        <v>83.6</v>
      </c>
      <c r="F31">
        <v>0</v>
      </c>
      <c r="G31">
        <f t="shared" si="2"/>
        <v>9.4433773261457757E-2</v>
      </c>
      <c r="H31">
        <f t="shared" si="3"/>
        <v>0</v>
      </c>
      <c r="I31">
        <v>43</v>
      </c>
      <c r="J31">
        <f>G31*H31</f>
        <v>0</v>
      </c>
      <c r="K31">
        <v>38</v>
      </c>
      <c r="L31">
        <f t="shared" si="5"/>
        <v>0</v>
      </c>
      <c r="M31">
        <f t="shared" si="6"/>
        <v>7.736709583430347E-2</v>
      </c>
      <c r="N31" s="1">
        <f t="shared" si="7"/>
        <v>0</v>
      </c>
      <c r="O31" s="1">
        <v>39</v>
      </c>
      <c r="P31" s="1">
        <f t="shared" si="8"/>
        <v>0</v>
      </c>
      <c r="Q31" s="1">
        <v>536.64099999999996</v>
      </c>
      <c r="R31" s="1"/>
      <c r="S31" s="1">
        <v>6936.2950000000001</v>
      </c>
      <c r="T31" s="1">
        <v>0</v>
      </c>
      <c r="U31" s="1"/>
      <c r="V31" s="1">
        <v>2.375</v>
      </c>
      <c r="W31">
        <v>22861</v>
      </c>
      <c r="Y31">
        <v>242085</v>
      </c>
    </row>
    <row r="32" spans="1:25">
      <c r="A32">
        <v>2</v>
      </c>
      <c r="B32" t="s">
        <v>66</v>
      </c>
      <c r="C32">
        <f t="shared" si="0"/>
        <v>4.1880190090535403E-2</v>
      </c>
      <c r="D32">
        <f t="shared" si="1"/>
        <v>96.199999999999989</v>
      </c>
      <c r="E32">
        <v>38.9</v>
      </c>
      <c r="F32">
        <v>57.3</v>
      </c>
      <c r="G32">
        <f t="shared" si="2"/>
        <v>4.0813923013379605E-2</v>
      </c>
      <c r="H32">
        <f t="shared" si="3"/>
        <v>0</v>
      </c>
      <c r="I32">
        <v>31</v>
      </c>
      <c r="J32">
        <f>G32*H32</f>
        <v>0</v>
      </c>
      <c r="K32">
        <v>37</v>
      </c>
      <c r="L32">
        <f t="shared" si="5"/>
        <v>0</v>
      </c>
      <c r="M32">
        <f t="shared" si="6"/>
        <v>1.0662670771557966E-3</v>
      </c>
      <c r="N32" s="1">
        <f t="shared" si="7"/>
        <v>0</v>
      </c>
      <c r="O32" s="1">
        <v>34</v>
      </c>
      <c r="P32" s="1">
        <f t="shared" si="8"/>
        <v>0</v>
      </c>
      <c r="Q32" s="1">
        <v>15</v>
      </c>
      <c r="R32" s="1"/>
      <c r="S32" s="1">
        <v>14067.77</v>
      </c>
      <c r="T32" s="1">
        <v>0</v>
      </c>
      <c r="U32" s="1"/>
      <c r="V32" s="1">
        <v>3.1040000000000001</v>
      </c>
      <c r="W32">
        <v>24605</v>
      </c>
      <c r="Y32">
        <v>602858</v>
      </c>
    </row>
    <row r="33" spans="1:25">
      <c r="A33">
        <v>2</v>
      </c>
      <c r="B33" t="s">
        <v>69</v>
      </c>
      <c r="C33">
        <f t="shared" si="0"/>
        <v>0.22585163732792349</v>
      </c>
      <c r="D33">
        <f t="shared" si="1"/>
        <v>66.400000000000006</v>
      </c>
      <c r="E33">
        <v>66.400000000000006</v>
      </c>
      <c r="F33">
        <v>0</v>
      </c>
      <c r="G33">
        <f t="shared" si="2"/>
        <v>5.2243872104472198E-2</v>
      </c>
      <c r="H33">
        <f t="shared" si="3"/>
        <v>0</v>
      </c>
      <c r="I33">
        <v>37</v>
      </c>
      <c r="J33">
        <f>G33*H33</f>
        <v>0</v>
      </c>
      <c r="K33">
        <v>31</v>
      </c>
      <c r="L33">
        <f t="shared" si="5"/>
        <v>4.4543429844097994E-3</v>
      </c>
      <c r="M33">
        <f t="shared" si="6"/>
        <v>0.17360776522345128</v>
      </c>
      <c r="N33" s="1">
        <f t="shared" si="7"/>
        <v>90.58733534150511</v>
      </c>
      <c r="O33" s="1">
        <v>41</v>
      </c>
      <c r="P33" s="1">
        <f t="shared" si="8"/>
        <v>2.7302711383645759</v>
      </c>
      <c r="Q33" s="1">
        <v>1092.8679999999999</v>
      </c>
      <c r="R33" s="1">
        <v>99</v>
      </c>
      <c r="S33" s="1">
        <v>6295.0410000000002</v>
      </c>
      <c r="T33" s="1">
        <v>2.4E-2</v>
      </c>
      <c r="U33" s="1"/>
      <c r="V33" s="1">
        <v>5.3879999999999999</v>
      </c>
      <c r="W33">
        <v>20163</v>
      </c>
      <c r="Y33">
        <v>385940</v>
      </c>
    </row>
    <row r="34" spans="1:25">
      <c r="A34">
        <v>2</v>
      </c>
      <c r="B34" t="s">
        <v>88</v>
      </c>
      <c r="C34">
        <f t="shared" ref="C34:C52" si="9">G34+M34</f>
        <v>7.0666458110060282E-2</v>
      </c>
      <c r="D34">
        <f t="shared" ref="D34:D52" si="10">E34+F34</f>
        <v>93.4</v>
      </c>
      <c r="E34">
        <v>26.1</v>
      </c>
      <c r="F34">
        <v>67.3</v>
      </c>
      <c r="G34">
        <f t="shared" ref="G34:G52" si="11">W34/Y34</f>
        <v>7.0257142687350074E-2</v>
      </c>
      <c r="H34">
        <f t="shared" ref="H34:H52" si="12">X34*1000000/W34/365</f>
        <v>0</v>
      </c>
      <c r="I34">
        <v>14</v>
      </c>
      <c r="J34">
        <f>G34*H34</f>
        <v>0</v>
      </c>
      <c r="K34">
        <v>29</v>
      </c>
      <c r="L34">
        <f t="shared" ref="L34:L52" si="13">T34/V34</f>
        <v>0</v>
      </c>
      <c r="M34">
        <f t="shared" ref="M34:M52" si="14">Q34/S34</f>
        <v>4.0931542271021323E-4</v>
      </c>
      <c r="N34" s="1">
        <f t="shared" ref="N34:N52" si="15">R34*1000/Q34</f>
        <v>0</v>
      </c>
      <c r="O34" s="1">
        <v>25</v>
      </c>
      <c r="P34" s="1">
        <f t="shared" ref="P34:P52" si="16">M34^2*N34</f>
        <v>0</v>
      </c>
      <c r="Q34" s="1">
        <v>12.63</v>
      </c>
      <c r="R34" s="1"/>
      <c r="S34" s="1">
        <v>30856.399000000001</v>
      </c>
      <c r="T34" s="1">
        <v>0</v>
      </c>
      <c r="U34" s="1"/>
      <c r="V34" s="1">
        <v>8.6519999999999992</v>
      </c>
      <c r="W34">
        <v>106401</v>
      </c>
      <c r="Y34">
        <v>1514451</v>
      </c>
    </row>
    <row r="35" spans="1:25">
      <c r="A35">
        <v>2</v>
      </c>
      <c r="B35" t="s">
        <v>105</v>
      </c>
      <c r="C35">
        <f t="shared" si="9"/>
        <v>0.6726695615963405</v>
      </c>
      <c r="D35">
        <f t="shared" si="10"/>
        <v>27.3</v>
      </c>
      <c r="E35">
        <v>24</v>
      </c>
      <c r="F35">
        <v>3.3</v>
      </c>
      <c r="G35">
        <f t="shared" si="11"/>
        <v>0.16764787306055307</v>
      </c>
      <c r="H35">
        <f t="shared" si="12"/>
        <v>13.426567025583127</v>
      </c>
      <c r="I35">
        <v>3</v>
      </c>
      <c r="J35">
        <f>G35^2*H35</f>
        <v>0.37736453293496219</v>
      </c>
      <c r="K35">
        <v>2</v>
      </c>
      <c r="L35">
        <f t="shared" si="13"/>
        <v>0.81435692119691938</v>
      </c>
      <c r="M35">
        <f t="shared" si="14"/>
        <v>0.50502168853578744</v>
      </c>
      <c r="N35" s="1">
        <f t="shared" si="15"/>
        <v>38.957984120224786</v>
      </c>
      <c r="O35" s="1">
        <v>11</v>
      </c>
      <c r="P35" s="1">
        <f t="shared" si="16"/>
        <v>9.9361133096349992</v>
      </c>
      <c r="Q35" s="1">
        <v>35936.150999999998</v>
      </c>
      <c r="R35" s="1">
        <v>1400</v>
      </c>
      <c r="S35" s="1">
        <v>71157.638999999996</v>
      </c>
      <c r="T35" s="1">
        <v>1012.946</v>
      </c>
      <c r="U35" s="1">
        <v>101363</v>
      </c>
      <c r="V35" s="1">
        <v>1243.8599999999999</v>
      </c>
      <c r="W35">
        <v>938642</v>
      </c>
      <c r="X35">
        <v>4600</v>
      </c>
      <c r="Y35">
        <v>5598890</v>
      </c>
    </row>
    <row r="36" spans="1:25">
      <c r="A36">
        <v>2</v>
      </c>
      <c r="B36" t="s">
        <v>63</v>
      </c>
      <c r="C36">
        <f t="shared" si="9"/>
        <v>2.0759605534141583</v>
      </c>
      <c r="D36">
        <f t="shared" si="10"/>
        <v>17</v>
      </c>
      <c r="E36">
        <v>17</v>
      </c>
      <c r="F36">
        <v>0</v>
      </c>
      <c r="G36">
        <f t="shared" si="11"/>
        <v>0.1077280814718075</v>
      </c>
      <c r="H36">
        <f t="shared" si="12"/>
        <v>0</v>
      </c>
      <c r="I36">
        <v>46</v>
      </c>
      <c r="J36">
        <f>G36*H36</f>
        <v>0</v>
      </c>
      <c r="K36">
        <v>33</v>
      </c>
      <c r="L36">
        <f t="shared" si="13"/>
        <v>0</v>
      </c>
      <c r="M36">
        <f t="shared" si="14"/>
        <v>1.9682324719423507</v>
      </c>
      <c r="N36" s="1">
        <f t="shared" si="15"/>
        <v>6.7593359102675628</v>
      </c>
      <c r="O36" s="1">
        <v>36</v>
      </c>
      <c r="P36" s="1">
        <f t="shared" si="16"/>
        <v>26.185255426835855</v>
      </c>
      <c r="Q36" s="1">
        <v>26629.834999999999</v>
      </c>
      <c r="R36" s="1">
        <v>180</v>
      </c>
      <c r="S36" s="1">
        <v>13529.822</v>
      </c>
      <c r="T36" s="1">
        <v>0</v>
      </c>
      <c r="U36" s="1"/>
      <c r="V36" s="1">
        <v>4.4290000000000003</v>
      </c>
      <c r="W36">
        <v>23674</v>
      </c>
      <c r="Y36">
        <v>219757</v>
      </c>
    </row>
    <row r="37" spans="1:25">
      <c r="A37">
        <v>2</v>
      </c>
      <c r="B37" t="s">
        <v>70</v>
      </c>
      <c r="C37">
        <f t="shared" si="9"/>
        <v>0.40513579282507545</v>
      </c>
      <c r="D37">
        <f t="shared" si="10"/>
        <v>54</v>
      </c>
      <c r="E37">
        <v>51.2</v>
      </c>
      <c r="F37">
        <v>2.8</v>
      </c>
      <c r="G37">
        <f t="shared" si="11"/>
        <v>0.10064724641551921</v>
      </c>
      <c r="H37">
        <f t="shared" si="12"/>
        <v>0</v>
      </c>
      <c r="I37">
        <v>26</v>
      </c>
      <c r="J37">
        <f>G37*H37</f>
        <v>0</v>
      </c>
      <c r="K37">
        <v>27</v>
      </c>
      <c r="L37">
        <f t="shared" si="13"/>
        <v>0</v>
      </c>
      <c r="M37">
        <f t="shared" si="14"/>
        <v>0.30448854640955625</v>
      </c>
      <c r="N37" s="1">
        <f t="shared" si="15"/>
        <v>13.425024183115678</v>
      </c>
      <c r="O37" s="1">
        <v>24</v>
      </c>
      <c r="P37" s="1">
        <f t="shared" si="16"/>
        <v>1.2446779575559168</v>
      </c>
      <c r="Q37" s="1">
        <v>9683.4089999999997</v>
      </c>
      <c r="R37" s="1">
        <v>130</v>
      </c>
      <c r="S37" s="1">
        <v>31802.210999999999</v>
      </c>
      <c r="T37" s="1">
        <v>0</v>
      </c>
      <c r="U37" s="1"/>
      <c r="V37" s="1">
        <v>10.71</v>
      </c>
      <c r="W37">
        <v>82151</v>
      </c>
      <c r="Y37">
        <v>816227</v>
      </c>
    </row>
    <row r="38" spans="1:25">
      <c r="A38">
        <v>2</v>
      </c>
      <c r="B38" t="s">
        <v>94</v>
      </c>
      <c r="C38">
        <f t="shared" si="9"/>
        <v>0.5349724805199908</v>
      </c>
      <c r="D38">
        <f t="shared" si="10"/>
        <v>23.3</v>
      </c>
      <c r="E38">
        <v>23.3</v>
      </c>
      <c r="F38">
        <v>0</v>
      </c>
      <c r="G38">
        <f t="shared" si="11"/>
        <v>3.0297974080394707E-2</v>
      </c>
      <c r="H38">
        <f t="shared" si="12"/>
        <v>0</v>
      </c>
      <c r="I38">
        <v>35</v>
      </c>
      <c r="J38">
        <f>G38*H38</f>
        <v>0</v>
      </c>
      <c r="K38">
        <v>15</v>
      </c>
      <c r="L38">
        <f t="shared" si="13"/>
        <v>0.32576649657638801</v>
      </c>
      <c r="M38">
        <f t="shared" si="14"/>
        <v>0.5046745064395961</v>
      </c>
      <c r="N38" s="1">
        <f t="shared" si="15"/>
        <v>0</v>
      </c>
      <c r="O38" s="1">
        <v>45</v>
      </c>
      <c r="P38" s="1">
        <f t="shared" si="16"/>
        <v>0</v>
      </c>
      <c r="Q38" s="1">
        <v>1658.9079999999999</v>
      </c>
      <c r="R38" s="1"/>
      <c r="S38" s="1">
        <v>3287.085</v>
      </c>
      <c r="T38" s="1">
        <v>14.939</v>
      </c>
      <c r="U38" s="1"/>
      <c r="V38" s="1">
        <v>45.857999999999997</v>
      </c>
      <c r="W38">
        <v>14345</v>
      </c>
      <c r="Y38">
        <v>473464</v>
      </c>
    </row>
    <row r="39" spans="1:25">
      <c r="A39">
        <v>2</v>
      </c>
      <c r="B39" t="s">
        <v>77</v>
      </c>
      <c r="C39">
        <f t="shared" si="9"/>
        <v>0.28055246285781166</v>
      </c>
      <c r="D39">
        <f t="shared" si="10"/>
        <v>31.5</v>
      </c>
      <c r="E39">
        <v>31.5</v>
      </c>
      <c r="F39">
        <v>0</v>
      </c>
      <c r="G39">
        <f t="shared" si="11"/>
        <v>4.6267516130693166E-2</v>
      </c>
      <c r="H39">
        <f t="shared" si="12"/>
        <v>0</v>
      </c>
      <c r="I39">
        <v>28</v>
      </c>
      <c r="J39">
        <f>G39*H39</f>
        <v>0</v>
      </c>
      <c r="K39">
        <v>13</v>
      </c>
      <c r="L39">
        <f t="shared" si="13"/>
        <v>0.93141275934857981</v>
      </c>
      <c r="M39">
        <f t="shared" si="14"/>
        <v>0.2342849467271185</v>
      </c>
      <c r="N39" s="1">
        <f t="shared" si="15"/>
        <v>17.484280958945561</v>
      </c>
      <c r="O39" s="1">
        <v>30</v>
      </c>
      <c r="P39" s="1">
        <f t="shared" si="16"/>
        <v>0.9597023252991812</v>
      </c>
      <c r="Q39" s="1">
        <v>5204.6750000000002</v>
      </c>
      <c r="R39" s="1">
        <v>91</v>
      </c>
      <c r="S39" s="1">
        <v>22215.149000000001</v>
      </c>
      <c r="T39" s="1">
        <v>85.16</v>
      </c>
      <c r="U39" s="1">
        <v>26479</v>
      </c>
      <c r="V39" s="1">
        <v>91.430999999999997</v>
      </c>
      <c r="W39">
        <v>34147</v>
      </c>
      <c r="Y39">
        <v>738034</v>
      </c>
    </row>
    <row r="40" spans="1:25">
      <c r="A40">
        <v>2</v>
      </c>
      <c r="B40" t="s">
        <v>85</v>
      </c>
      <c r="C40">
        <f t="shared" si="9"/>
        <v>0.16515284061874122</v>
      </c>
      <c r="D40">
        <f t="shared" si="10"/>
        <v>17.599999999999998</v>
      </c>
      <c r="E40">
        <v>13.7</v>
      </c>
      <c r="F40">
        <v>3.9</v>
      </c>
      <c r="G40">
        <f t="shared" si="11"/>
        <v>0.15029161425234028</v>
      </c>
      <c r="H40">
        <f t="shared" si="12"/>
        <v>0</v>
      </c>
      <c r="I40">
        <v>30</v>
      </c>
      <c r="J40">
        <f>G40^2*H40</f>
        <v>0</v>
      </c>
      <c r="K40">
        <v>7</v>
      </c>
      <c r="L40">
        <f t="shared" si="13"/>
        <v>1.4198276532253724</v>
      </c>
      <c r="M40">
        <f t="shared" si="14"/>
        <v>1.4861226366400937E-2</v>
      </c>
      <c r="N40" s="1">
        <f t="shared" si="15"/>
        <v>0</v>
      </c>
      <c r="O40" s="1">
        <v>44</v>
      </c>
      <c r="P40" s="1">
        <f t="shared" si="16"/>
        <v>0</v>
      </c>
      <c r="Q40" s="1">
        <v>57.988</v>
      </c>
      <c r="R40" s="1"/>
      <c r="S40" s="1">
        <v>3901.9659999999999</v>
      </c>
      <c r="T40" s="1">
        <v>237.42500000000001</v>
      </c>
      <c r="U40" s="1">
        <v>9893</v>
      </c>
      <c r="V40" s="1">
        <v>167.221</v>
      </c>
      <c r="W40">
        <v>91995</v>
      </c>
      <c r="Y40">
        <v>612110</v>
      </c>
    </row>
    <row r="41" spans="1:25">
      <c r="A41">
        <v>2</v>
      </c>
      <c r="B41" t="s">
        <v>92</v>
      </c>
      <c r="C41">
        <f t="shared" si="9"/>
        <v>0.88131956590171523</v>
      </c>
      <c r="D41">
        <f t="shared" si="10"/>
        <v>16.5</v>
      </c>
      <c r="E41">
        <v>16.5</v>
      </c>
      <c r="F41">
        <v>0</v>
      </c>
      <c r="G41">
        <f t="shared" si="11"/>
        <v>0.28652002214968525</v>
      </c>
      <c r="H41">
        <f t="shared" si="12"/>
        <v>2.0901015611700098</v>
      </c>
      <c r="I41">
        <v>17</v>
      </c>
      <c r="J41">
        <f>G41^2*H41</f>
        <v>0.17158421879821906</v>
      </c>
      <c r="K41">
        <v>16</v>
      </c>
      <c r="L41">
        <f t="shared" si="13"/>
        <v>0.28871462051559399</v>
      </c>
      <c r="M41">
        <f t="shared" si="14"/>
        <v>0.59479954375202992</v>
      </c>
      <c r="N41" s="1">
        <f t="shared" si="15"/>
        <v>5.1882581712842653</v>
      </c>
      <c r="O41" s="1">
        <v>22</v>
      </c>
      <c r="P41" s="1">
        <f t="shared" si="16"/>
        <v>1.835535685235018</v>
      </c>
      <c r="Q41" s="1">
        <v>26984.008000000002</v>
      </c>
      <c r="R41" s="1">
        <v>140</v>
      </c>
      <c r="S41" s="1">
        <v>45366.557999999997</v>
      </c>
      <c r="T41" s="1">
        <v>12.811999999999999</v>
      </c>
      <c r="U41" s="1">
        <v>1063</v>
      </c>
      <c r="V41" s="1">
        <v>44.375999999999998</v>
      </c>
      <c r="W41">
        <v>393243</v>
      </c>
      <c r="X41">
        <v>300</v>
      </c>
      <c r="Y41">
        <v>1372480</v>
      </c>
    </row>
    <row r="42" spans="1:25">
      <c r="A42">
        <v>1</v>
      </c>
      <c r="B42" t="s">
        <v>99</v>
      </c>
      <c r="C42">
        <f t="shared" si="9"/>
        <v>0.77787621311634592</v>
      </c>
      <c r="D42">
        <f t="shared" si="10"/>
        <v>2</v>
      </c>
      <c r="E42">
        <v>2</v>
      </c>
      <c r="F42">
        <v>0</v>
      </c>
      <c r="G42">
        <f t="shared" si="11"/>
        <v>3.3142566625215558E-2</v>
      </c>
      <c r="H42">
        <f t="shared" si="12"/>
        <v>0</v>
      </c>
      <c r="I42">
        <v>41</v>
      </c>
      <c r="J42">
        <f>G42*H42</f>
        <v>0</v>
      </c>
      <c r="K42">
        <v>23</v>
      </c>
      <c r="L42">
        <f t="shared" si="13"/>
        <v>5.4149253731343286E-2</v>
      </c>
      <c r="M42">
        <f t="shared" si="14"/>
        <v>0.74473364649113039</v>
      </c>
      <c r="N42" s="1">
        <f t="shared" si="15"/>
        <v>6.4533407331640404</v>
      </c>
      <c r="O42" s="1">
        <v>29</v>
      </c>
      <c r="P42" s="1">
        <f t="shared" si="16"/>
        <v>3.5792047820285813</v>
      </c>
      <c r="Q42" s="1">
        <v>20144.605</v>
      </c>
      <c r="R42" s="1">
        <v>130</v>
      </c>
      <c r="S42" s="1">
        <v>27049.409</v>
      </c>
      <c r="T42" s="1">
        <v>0.90700000000000003</v>
      </c>
      <c r="U42" s="1"/>
      <c r="V42" s="1">
        <v>16.75</v>
      </c>
      <c r="W42">
        <v>9648</v>
      </c>
      <c r="Y42">
        <v>291106</v>
      </c>
    </row>
    <row r="43" spans="1:25">
      <c r="A43">
        <v>1</v>
      </c>
      <c r="B43" t="s">
        <v>93</v>
      </c>
      <c r="C43">
        <f t="shared" si="9"/>
        <v>0.14168298150694147</v>
      </c>
      <c r="D43">
        <f t="shared" si="10"/>
        <v>59.1</v>
      </c>
      <c r="E43">
        <v>59.1</v>
      </c>
      <c r="F43">
        <v>0</v>
      </c>
      <c r="G43">
        <f t="shared" si="11"/>
        <v>8.8580508330359312E-2</v>
      </c>
      <c r="H43">
        <f t="shared" si="12"/>
        <v>0</v>
      </c>
      <c r="I43">
        <v>10</v>
      </c>
      <c r="J43">
        <f>G43*H43</f>
        <v>0</v>
      </c>
      <c r="K43">
        <v>8</v>
      </c>
      <c r="L43">
        <f t="shared" si="13"/>
        <v>0.76257184801811451</v>
      </c>
      <c r="M43">
        <f t="shared" si="14"/>
        <v>5.3102473176582163E-2</v>
      </c>
      <c r="N43" s="1">
        <f t="shared" si="15"/>
        <v>0</v>
      </c>
      <c r="O43" s="1">
        <v>9</v>
      </c>
      <c r="P43" s="1">
        <f t="shared" si="16"/>
        <v>0</v>
      </c>
      <c r="Q43" s="1">
        <v>4127.9189999999999</v>
      </c>
      <c r="R43" s="1"/>
      <c r="S43" s="1">
        <v>77734.967000000004</v>
      </c>
      <c r="T43" s="1">
        <v>91.941000000000003</v>
      </c>
      <c r="U43" s="1">
        <v>36103</v>
      </c>
      <c r="V43" s="1">
        <v>120.56699999999999</v>
      </c>
      <c r="W43">
        <v>182183</v>
      </c>
      <c r="Y43">
        <v>2056694</v>
      </c>
    </row>
    <row r="44" spans="1:25">
      <c r="A44">
        <v>1</v>
      </c>
      <c r="B44" t="s">
        <v>62</v>
      </c>
      <c r="C44">
        <f t="shared" si="9"/>
        <v>4.6576816475249291E-2</v>
      </c>
      <c r="D44">
        <f t="shared" si="10"/>
        <v>49.7</v>
      </c>
      <c r="E44">
        <v>49.7</v>
      </c>
      <c r="F44">
        <v>0</v>
      </c>
      <c r="G44">
        <f t="shared" si="11"/>
        <v>4.6248542723629354E-2</v>
      </c>
      <c r="H44">
        <f t="shared" si="12"/>
        <v>0</v>
      </c>
      <c r="I44">
        <v>40</v>
      </c>
      <c r="J44">
        <f>G44*H44</f>
        <v>0</v>
      </c>
      <c r="K44">
        <v>30</v>
      </c>
      <c r="L44">
        <f t="shared" si="13"/>
        <v>0.94227326968973757</v>
      </c>
      <c r="M44">
        <f t="shared" si="14"/>
        <v>3.282737516199345E-4</v>
      </c>
      <c r="N44" s="1">
        <f t="shared" si="15"/>
        <v>0</v>
      </c>
      <c r="O44" s="1">
        <v>42</v>
      </c>
      <c r="P44" s="1">
        <f t="shared" si="16"/>
        <v>0</v>
      </c>
      <c r="Q44" s="1">
        <v>1.9910000000000001</v>
      </c>
      <c r="R44" s="1"/>
      <c r="S44" s="1">
        <v>6065.06</v>
      </c>
      <c r="T44" s="1">
        <v>6.3170000000000002</v>
      </c>
      <c r="U44" s="1">
        <v>2876</v>
      </c>
      <c r="V44" s="1">
        <v>6.7039999999999997</v>
      </c>
      <c r="W44">
        <v>14321</v>
      </c>
      <c r="Y44">
        <v>309653</v>
      </c>
    </row>
    <row r="45" spans="1:25">
      <c r="A45">
        <v>1</v>
      </c>
      <c r="B45" t="s">
        <v>83</v>
      </c>
      <c r="C45">
        <f t="shared" si="9"/>
        <v>0.14187863610328005</v>
      </c>
      <c r="D45">
        <f t="shared" si="10"/>
        <v>48.8</v>
      </c>
      <c r="E45">
        <v>48.8</v>
      </c>
      <c r="F45">
        <v>0</v>
      </c>
      <c r="G45">
        <f t="shared" si="11"/>
        <v>0.10001257543244171</v>
      </c>
      <c r="H45">
        <f t="shared" si="12"/>
        <v>11.041316495914547</v>
      </c>
      <c r="I45">
        <v>19</v>
      </c>
      <c r="J45">
        <f>G45^2*H45</f>
        <v>0.11044093657116823</v>
      </c>
      <c r="K45">
        <v>35</v>
      </c>
      <c r="L45">
        <f t="shared" si="13"/>
        <v>0</v>
      </c>
      <c r="M45">
        <f t="shared" si="14"/>
        <v>4.1866060670838354E-2</v>
      </c>
      <c r="N45" s="1">
        <f t="shared" si="15"/>
        <v>0</v>
      </c>
      <c r="O45" s="1">
        <v>12</v>
      </c>
      <c r="P45" s="1">
        <f t="shared" si="16"/>
        <v>0</v>
      </c>
      <c r="Q45" s="1">
        <v>2619.6819999999998</v>
      </c>
      <c r="R45" s="1"/>
      <c r="S45" s="1">
        <v>62572.928</v>
      </c>
      <c r="T45" s="1">
        <v>0</v>
      </c>
      <c r="U45" s="1"/>
      <c r="V45" s="1">
        <v>3.5430000000000001</v>
      </c>
      <c r="W45">
        <v>124067</v>
      </c>
      <c r="X45">
        <v>500</v>
      </c>
      <c r="Y45">
        <v>1240514</v>
      </c>
    </row>
    <row r="46" spans="1:25">
      <c r="A46">
        <v>1</v>
      </c>
      <c r="B46" t="s">
        <v>97</v>
      </c>
      <c r="C46">
        <f t="shared" si="9"/>
        <v>5.3887207765331471E-2</v>
      </c>
      <c r="D46">
        <f t="shared" si="10"/>
        <v>33.5</v>
      </c>
      <c r="E46">
        <v>23.5</v>
      </c>
      <c r="F46">
        <v>10</v>
      </c>
      <c r="G46">
        <f t="shared" si="11"/>
        <v>3.2560929941076219E-2</v>
      </c>
      <c r="H46">
        <f t="shared" si="12"/>
        <v>0</v>
      </c>
      <c r="I46">
        <v>7</v>
      </c>
      <c r="J46">
        <f t="shared" ref="J46:J52" si="17">G46*H46</f>
        <v>0</v>
      </c>
      <c r="K46">
        <v>6</v>
      </c>
      <c r="L46">
        <f t="shared" si="13"/>
        <v>3.0858865370753186E-3</v>
      </c>
      <c r="M46">
        <f t="shared" si="14"/>
        <v>2.1326277824255252E-2</v>
      </c>
      <c r="N46" s="1">
        <f t="shared" si="15"/>
        <v>0</v>
      </c>
      <c r="O46" s="1">
        <v>8</v>
      </c>
      <c r="P46" s="1">
        <f t="shared" si="16"/>
        <v>0</v>
      </c>
      <c r="Q46" s="1">
        <v>1902.604</v>
      </c>
      <c r="R46" s="1"/>
      <c r="S46" s="1">
        <v>89214.067999999999</v>
      </c>
      <c r="T46" s="1">
        <v>0.51800000000000002</v>
      </c>
      <c r="U46" s="1"/>
      <c r="V46" s="1">
        <v>167.86099999999999</v>
      </c>
      <c r="W46">
        <v>102252</v>
      </c>
      <c r="Y46">
        <v>3140328</v>
      </c>
    </row>
    <row r="47" spans="1:25">
      <c r="A47">
        <v>1</v>
      </c>
      <c r="B47" t="s">
        <v>72</v>
      </c>
      <c r="C47">
        <f t="shared" si="9"/>
        <v>4.611034219181033E-2</v>
      </c>
      <c r="D47">
        <f t="shared" si="10"/>
        <v>23.2</v>
      </c>
      <c r="E47">
        <v>23.2</v>
      </c>
      <c r="F47">
        <v>0</v>
      </c>
      <c r="G47">
        <f t="shared" si="11"/>
        <v>7.7765093426983243E-5</v>
      </c>
      <c r="H47">
        <f t="shared" si="12"/>
        <v>0</v>
      </c>
      <c r="I47">
        <v>39</v>
      </c>
      <c r="J47">
        <f t="shared" si="17"/>
        <v>0</v>
      </c>
      <c r="K47">
        <v>28</v>
      </c>
      <c r="L47">
        <f t="shared" si="13"/>
        <v>0</v>
      </c>
      <c r="M47">
        <f t="shared" si="14"/>
        <v>4.6032577098383348E-2</v>
      </c>
      <c r="N47" s="1">
        <f t="shared" si="15"/>
        <v>0</v>
      </c>
      <c r="O47" s="1">
        <v>48</v>
      </c>
      <c r="P47" s="1">
        <f t="shared" si="16"/>
        <v>0</v>
      </c>
      <c r="Q47" s="1">
        <v>42.993000000000002</v>
      </c>
      <c r="R47" s="1"/>
      <c r="S47" s="1">
        <v>933.96900000000005</v>
      </c>
      <c r="T47" s="1">
        <v>0</v>
      </c>
      <c r="U47" s="1"/>
      <c r="V47" s="1">
        <v>9.7240000000000002</v>
      </c>
      <c r="W47">
        <v>25</v>
      </c>
      <c r="Y47">
        <v>321481</v>
      </c>
    </row>
    <row r="48" spans="1:25">
      <c r="A48">
        <v>1</v>
      </c>
      <c r="B48" t="s">
        <v>76</v>
      </c>
      <c r="C48">
        <f t="shared" si="9"/>
        <v>5.7079435547804031E-3</v>
      </c>
      <c r="D48">
        <f t="shared" si="10"/>
        <v>63.3</v>
      </c>
      <c r="E48">
        <v>63.3</v>
      </c>
      <c r="F48">
        <v>0</v>
      </c>
      <c r="G48">
        <f t="shared" si="11"/>
        <v>5.7079435547804031E-3</v>
      </c>
      <c r="H48">
        <f t="shared" si="12"/>
        <v>0</v>
      </c>
      <c r="I48">
        <v>50</v>
      </c>
      <c r="J48">
        <f t="shared" si="17"/>
        <v>0</v>
      </c>
      <c r="K48">
        <v>18</v>
      </c>
      <c r="L48">
        <f t="shared" si="13"/>
        <v>1</v>
      </c>
      <c r="M48">
        <f t="shared" si="14"/>
        <v>0</v>
      </c>
      <c r="N48" s="1" t="e">
        <f t="shared" si="15"/>
        <v>#DIV/0!</v>
      </c>
      <c r="O48" s="1">
        <v>50</v>
      </c>
      <c r="P48" s="1" t="e">
        <f t="shared" si="16"/>
        <v>#DIV/0!</v>
      </c>
      <c r="Q48" s="1">
        <v>0</v>
      </c>
      <c r="R48" s="1"/>
      <c r="S48" s="1">
        <v>0.1</v>
      </c>
      <c r="T48" s="1">
        <v>23.004999999999999</v>
      </c>
      <c r="U48" s="1">
        <v>2363</v>
      </c>
      <c r="V48" s="1">
        <v>23.004999999999999</v>
      </c>
      <c r="W48">
        <v>108</v>
      </c>
      <c r="Y48">
        <v>18921</v>
      </c>
    </row>
    <row r="49" spans="1:25" ht="13.5" customHeight="1">
      <c r="A49">
        <v>1</v>
      </c>
      <c r="B49" t="s">
        <v>61</v>
      </c>
      <c r="C49">
        <f t="shared" si="9"/>
        <v>1.3733917161998961E-2</v>
      </c>
      <c r="D49">
        <f t="shared" si="10"/>
        <v>5.4</v>
      </c>
      <c r="E49">
        <v>5.4</v>
      </c>
      <c r="F49">
        <v>0</v>
      </c>
      <c r="G49">
        <f t="shared" si="11"/>
        <v>1.3733917161998961E-2</v>
      </c>
      <c r="H49">
        <f t="shared" si="12"/>
        <v>0</v>
      </c>
      <c r="I49">
        <v>15</v>
      </c>
      <c r="J49">
        <f t="shared" si="17"/>
        <v>0</v>
      </c>
      <c r="K49">
        <v>44</v>
      </c>
      <c r="L49">
        <f t="shared" si="13"/>
        <v>0</v>
      </c>
      <c r="M49">
        <f t="shared" si="14"/>
        <v>0</v>
      </c>
      <c r="N49" s="1" t="e">
        <f t="shared" si="15"/>
        <v>#DIV/0!</v>
      </c>
      <c r="O49" s="1">
        <v>35</v>
      </c>
      <c r="P49" s="1" t="e">
        <f t="shared" si="16"/>
        <v>#DIV/0!</v>
      </c>
      <c r="Q49" s="1">
        <v>0</v>
      </c>
      <c r="R49" s="1"/>
      <c r="S49" s="1">
        <v>13840.495000000001</v>
      </c>
      <c r="T49" s="1">
        <v>0</v>
      </c>
      <c r="U49" s="1"/>
      <c r="V49" s="1">
        <v>0.97599999999999998</v>
      </c>
      <c r="W49">
        <v>20356</v>
      </c>
      <c r="Y49">
        <v>1482170</v>
      </c>
    </row>
    <row r="50" spans="1:25">
      <c r="A50">
        <v>1</v>
      </c>
      <c r="B50" t="s">
        <v>87</v>
      </c>
      <c r="C50">
        <f t="shared" si="9"/>
        <v>4.5036396261111361E-2</v>
      </c>
      <c r="D50">
        <f t="shared" si="10"/>
        <v>42.2</v>
      </c>
      <c r="E50">
        <v>10.5</v>
      </c>
      <c r="F50">
        <v>31.7</v>
      </c>
      <c r="G50">
        <f t="shared" si="11"/>
        <v>4.5036396261111361E-2</v>
      </c>
      <c r="H50">
        <f t="shared" si="12"/>
        <v>0</v>
      </c>
      <c r="I50">
        <v>8</v>
      </c>
      <c r="J50">
        <f t="shared" si="17"/>
        <v>0</v>
      </c>
      <c r="K50">
        <v>10</v>
      </c>
      <c r="L50">
        <f t="shared" si="13"/>
        <v>4.749432512659333E-3</v>
      </c>
      <c r="M50">
        <f t="shared" si="14"/>
        <v>0</v>
      </c>
      <c r="N50" s="1" t="e">
        <f t="shared" si="15"/>
        <v>#DIV/0!</v>
      </c>
      <c r="O50" s="1">
        <v>14</v>
      </c>
      <c r="P50" s="1" t="e">
        <f t="shared" si="16"/>
        <v>#DIV/0!</v>
      </c>
      <c r="Q50" s="1">
        <v>0</v>
      </c>
      <c r="R50" s="1"/>
      <c r="S50" s="1">
        <v>61918.625</v>
      </c>
      <c r="T50" s="1">
        <v>0.54400000000000004</v>
      </c>
      <c r="U50" s="1"/>
      <c r="V50" s="1">
        <v>114.54</v>
      </c>
      <c r="W50">
        <v>113246</v>
      </c>
      <c r="Y50">
        <v>2514544</v>
      </c>
    </row>
    <row r="51" spans="1:25">
      <c r="A51">
        <v>1</v>
      </c>
      <c r="B51" t="s">
        <v>82</v>
      </c>
      <c r="C51">
        <f t="shared" si="9"/>
        <v>5.9625213018676848E-2</v>
      </c>
      <c r="D51">
        <f t="shared" si="10"/>
        <v>75.699999999999989</v>
      </c>
      <c r="E51">
        <v>55.8</v>
      </c>
      <c r="F51">
        <v>19.899999999999999</v>
      </c>
      <c r="G51">
        <f t="shared" si="11"/>
        <v>5.8569612641482145E-2</v>
      </c>
      <c r="H51">
        <f t="shared" si="12"/>
        <v>0</v>
      </c>
      <c r="I51">
        <v>18</v>
      </c>
      <c r="J51">
        <f t="shared" si="17"/>
        <v>0</v>
      </c>
      <c r="K51">
        <v>34</v>
      </c>
      <c r="L51">
        <f t="shared" si="13"/>
        <v>0</v>
      </c>
      <c r="M51">
        <f t="shared" si="14"/>
        <v>1.0556003771947024E-3</v>
      </c>
      <c r="N51" s="1">
        <f t="shared" si="15"/>
        <v>0</v>
      </c>
      <c r="O51" s="1">
        <v>28</v>
      </c>
      <c r="P51" s="1">
        <f t="shared" si="16"/>
        <v>0</v>
      </c>
      <c r="Q51" s="1">
        <v>29.452000000000002</v>
      </c>
      <c r="R51" s="1"/>
      <c r="S51" s="1">
        <v>27900.71</v>
      </c>
      <c r="T51" s="1">
        <v>0</v>
      </c>
      <c r="U51" s="1"/>
      <c r="V51" s="1">
        <v>3.6030000000000002</v>
      </c>
      <c r="W51">
        <v>76947</v>
      </c>
      <c r="Y51">
        <v>1313770</v>
      </c>
    </row>
    <row r="52" spans="1:25">
      <c r="A52">
        <v>1</v>
      </c>
      <c r="B52" t="s">
        <v>125</v>
      </c>
      <c r="C52">
        <f t="shared" si="9"/>
        <v>3.0471576067687987E-2</v>
      </c>
      <c r="D52">
        <f t="shared" si="10"/>
        <v>12.2</v>
      </c>
      <c r="E52">
        <v>12.2</v>
      </c>
      <c r="F52">
        <v>0</v>
      </c>
      <c r="G52">
        <f t="shared" si="11"/>
        <v>2.8391301283822407E-2</v>
      </c>
      <c r="H52">
        <f t="shared" si="12"/>
        <v>0</v>
      </c>
      <c r="I52">
        <v>24</v>
      </c>
      <c r="J52">
        <f t="shared" si="17"/>
        <v>0</v>
      </c>
      <c r="K52">
        <v>14</v>
      </c>
      <c r="L52">
        <f t="shared" si="13"/>
        <v>0</v>
      </c>
      <c r="M52">
        <f t="shared" si="14"/>
        <v>2.0802747838655788E-3</v>
      </c>
      <c r="N52" s="1">
        <f t="shared" si="15"/>
        <v>0</v>
      </c>
      <c r="O52" s="1">
        <v>27</v>
      </c>
      <c r="P52" s="1">
        <f t="shared" si="16"/>
        <v>0</v>
      </c>
      <c r="Q52" s="1">
        <v>60.148000000000003</v>
      </c>
      <c r="R52" s="1"/>
      <c r="S52" s="1">
        <v>28913.488000000001</v>
      </c>
      <c r="T52" s="1">
        <v>0</v>
      </c>
      <c r="U52" s="1"/>
      <c r="V52" s="1">
        <v>56.978999999999999</v>
      </c>
      <c r="W52">
        <v>25381</v>
      </c>
      <c r="Y52">
        <v>893971</v>
      </c>
    </row>
  </sheetData>
  <sortState xmlns:xlrd2="http://schemas.microsoft.com/office/spreadsheetml/2017/richdata2" ref="A2:AA63">
    <sortCondition descending="1" ref="A2:A63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52BDC-6D1A-4DF7-A8DE-F47D6BAB938F}">
  <dimension ref="A1:Y52"/>
  <sheetViews>
    <sheetView workbookViewId="0">
      <pane ySplit="1" topLeftCell="A2" activePane="bottomLeft" state="frozen"/>
      <selection pane="bottomLeft" activeCell="V14" sqref="V14"/>
    </sheetView>
  </sheetViews>
  <sheetFormatPr defaultRowHeight="13.9"/>
  <cols>
    <col min="1" max="1" width="7.3984375" customWidth="1"/>
    <col min="2" max="2" width="9.73046875" customWidth="1"/>
    <col min="3" max="3" width="11.1328125" bestFit="1" customWidth="1"/>
    <col min="4" max="4" width="8.9296875" customWidth="1"/>
    <col min="5" max="5" width="13.46484375" customWidth="1"/>
    <col min="7" max="7" width="7.1328125" customWidth="1"/>
    <col min="15" max="15" width="6.796875" customWidth="1"/>
    <col min="25" max="25" width="14.06640625" customWidth="1"/>
  </cols>
  <sheetData>
    <row r="1" spans="1:25" s="13" customFormat="1">
      <c r="A1" s="15" t="s">
        <v>249</v>
      </c>
      <c r="B1" s="15" t="s">
        <v>196</v>
      </c>
      <c r="C1" s="15" t="s">
        <v>277</v>
      </c>
      <c r="D1" s="15" t="s">
        <v>278</v>
      </c>
      <c r="E1" s="15" t="s">
        <v>279</v>
      </c>
      <c r="F1" s="15" t="s">
        <v>280</v>
      </c>
      <c r="G1" s="15" t="s">
        <v>281</v>
      </c>
      <c r="H1" s="15" t="s">
        <v>282</v>
      </c>
      <c r="I1" s="15" t="s">
        <v>283</v>
      </c>
      <c r="J1" s="15" t="s">
        <v>284</v>
      </c>
      <c r="K1" s="15" t="s">
        <v>285</v>
      </c>
      <c r="L1" s="15" t="s">
        <v>286</v>
      </c>
      <c r="M1" s="15" t="s">
        <v>287</v>
      </c>
      <c r="N1" s="15" t="s">
        <v>288</v>
      </c>
      <c r="O1" s="13" t="s">
        <v>298</v>
      </c>
      <c r="P1" s="17" t="s">
        <v>292</v>
      </c>
      <c r="Q1" s="17" t="s">
        <v>289</v>
      </c>
      <c r="R1" s="17" t="s">
        <v>290</v>
      </c>
      <c r="S1" s="17" t="s">
        <v>291</v>
      </c>
      <c r="T1" s="19" t="s">
        <v>293</v>
      </c>
      <c r="U1" s="19" t="s">
        <v>294</v>
      </c>
      <c r="V1" s="19" t="s">
        <v>295</v>
      </c>
      <c r="W1" s="19" t="s">
        <v>296</v>
      </c>
      <c r="X1" s="19" t="s">
        <v>297</v>
      </c>
      <c r="Y1" s="13" t="s">
        <v>299</v>
      </c>
    </row>
    <row r="2" spans="1:25">
      <c r="A2">
        <v>3</v>
      </c>
      <c r="B2" t="s">
        <v>105</v>
      </c>
      <c r="C2" s="8">
        <v>1656780</v>
      </c>
      <c r="D2">
        <f t="shared" ref="D2:D33" si="0">C2*G2*1000/Y2</f>
        <v>424.27833102409045</v>
      </c>
      <c r="E2" s="8">
        <v>374600060</v>
      </c>
      <c r="F2">
        <f t="shared" ref="F2:F33" si="1">E2*1000/Y2</f>
        <v>264.26961139815955</v>
      </c>
      <c r="G2">
        <v>363</v>
      </c>
      <c r="H2">
        <f t="shared" ref="H2:H33" si="2">I2*600/Y2</f>
        <v>5.4321144669599546</v>
      </c>
      <c r="I2">
        <v>12833298</v>
      </c>
      <c r="J2">
        <f t="shared" ref="J2:J33" si="3">K2*1000/Y2</f>
        <v>4.9955244897325697</v>
      </c>
      <c r="K2" s="9">
        <f>5290060+1757160+33896</f>
        <v>7081116</v>
      </c>
      <c r="L2">
        <f t="shared" ref="L2:L33" si="4">M2*10000/Y2</f>
        <v>0.50906812877956276</v>
      </c>
      <c r="M2">
        <v>72160</v>
      </c>
      <c r="N2" s="9">
        <v>2573.64</v>
      </c>
      <c r="P2">
        <v>1384.71</v>
      </c>
      <c r="Q2">
        <v>1446</v>
      </c>
      <c r="R2">
        <v>464.9</v>
      </c>
      <c r="S2">
        <v>1910.9</v>
      </c>
      <c r="T2">
        <f t="shared" ref="T2:T33" si="5">Q2/S2</f>
        <v>0.75671149720027209</v>
      </c>
      <c r="U2">
        <v>647.5</v>
      </c>
      <c r="V2">
        <f t="shared" ref="V2:V33" si="6">U2/S2</f>
        <v>0.33884557015019101</v>
      </c>
      <c r="W2">
        <v>0</v>
      </c>
      <c r="X2">
        <f t="shared" ref="X2:X33" si="7">W2/U2</f>
        <v>0</v>
      </c>
      <c r="Y2" s="7">
        <v>1417492000</v>
      </c>
    </row>
    <row r="3" spans="1:25">
      <c r="A3">
        <v>5</v>
      </c>
      <c r="B3" t="s">
        <v>104</v>
      </c>
      <c r="C3" s="8">
        <v>1652028</v>
      </c>
      <c r="D3">
        <f t="shared" si="0"/>
        <v>4046.1477945546412</v>
      </c>
      <c r="E3" s="8">
        <v>462631780</v>
      </c>
      <c r="F3">
        <f t="shared" si="1"/>
        <v>1360.2376762964211</v>
      </c>
      <c r="G3">
        <v>833</v>
      </c>
      <c r="H3">
        <f t="shared" si="2"/>
        <v>83.72779770349554</v>
      </c>
      <c r="I3">
        <v>47461240</v>
      </c>
      <c r="J3">
        <f t="shared" si="3"/>
        <v>9.2951716102744673</v>
      </c>
      <c r="K3" s="9">
        <v>3161390</v>
      </c>
      <c r="L3">
        <f t="shared" si="4"/>
        <v>9.1086442640894631</v>
      </c>
      <c r="M3">
        <v>309795</v>
      </c>
      <c r="N3" s="9">
        <v>3874.98</v>
      </c>
      <c r="P3">
        <v>9271.83</v>
      </c>
      <c r="Q3">
        <v>2818</v>
      </c>
      <c r="R3">
        <v>251</v>
      </c>
      <c r="S3">
        <v>3069</v>
      </c>
      <c r="T3">
        <f t="shared" si="5"/>
        <v>0.91821440208536986</v>
      </c>
      <c r="U3">
        <v>444.39609999999999</v>
      </c>
      <c r="V3">
        <f t="shared" si="6"/>
        <v>0.14480159661127404</v>
      </c>
      <c r="W3">
        <v>0</v>
      </c>
      <c r="X3">
        <f t="shared" si="7"/>
        <v>0</v>
      </c>
      <c r="Y3" s="7">
        <v>340110988</v>
      </c>
    </row>
    <row r="4" spans="1:25">
      <c r="A4">
        <v>3</v>
      </c>
      <c r="B4" t="s">
        <v>106</v>
      </c>
      <c r="C4" s="8">
        <v>1275799</v>
      </c>
      <c r="D4">
        <f t="shared" si="0"/>
        <v>581.60519072911632</v>
      </c>
      <c r="E4" s="8">
        <v>641731700</v>
      </c>
      <c r="F4">
        <f t="shared" si="1"/>
        <v>455.68473599000197</v>
      </c>
      <c r="G4">
        <v>642</v>
      </c>
      <c r="H4">
        <f t="shared" si="2"/>
        <v>41.538483824239499</v>
      </c>
      <c r="I4">
        <v>97496360</v>
      </c>
      <c r="J4">
        <f t="shared" si="3"/>
        <v>4.5177841054335781</v>
      </c>
      <c r="K4" s="9">
        <f>5994800+367505</f>
        <v>6362305</v>
      </c>
      <c r="L4">
        <f t="shared" si="4"/>
        <v>1.5620331184139518</v>
      </c>
      <c r="M4">
        <v>219978</v>
      </c>
      <c r="N4" s="9">
        <v>3453.9</v>
      </c>
      <c r="P4">
        <v>1930.43</v>
      </c>
      <c r="Q4">
        <v>2812.9</v>
      </c>
      <c r="R4">
        <v>27.32</v>
      </c>
      <c r="S4">
        <v>2840.22</v>
      </c>
      <c r="T4">
        <f t="shared" si="5"/>
        <v>0.99038102682186602</v>
      </c>
      <c r="U4">
        <v>568.48</v>
      </c>
      <c r="V4">
        <f t="shared" si="6"/>
        <v>0.20015350923520012</v>
      </c>
      <c r="W4">
        <v>1.04</v>
      </c>
      <c r="X4">
        <f t="shared" si="7"/>
        <v>1.829439909935266E-3</v>
      </c>
      <c r="Y4" s="7">
        <v>1408280000</v>
      </c>
    </row>
    <row r="5" spans="1:25">
      <c r="A5">
        <v>5</v>
      </c>
      <c r="B5" t="s">
        <v>98</v>
      </c>
      <c r="C5" s="8">
        <v>1248169</v>
      </c>
      <c r="D5">
        <f t="shared" si="0"/>
        <v>2709.5398991942147</v>
      </c>
      <c r="E5" s="8">
        <v>136708400</v>
      </c>
      <c r="F5">
        <f t="shared" si="1"/>
        <v>936.17727930523063</v>
      </c>
      <c r="G5">
        <v>317</v>
      </c>
      <c r="H5">
        <f t="shared" si="2"/>
        <v>51.372964799808528</v>
      </c>
      <c r="I5">
        <v>12503180</v>
      </c>
      <c r="J5">
        <f t="shared" si="3"/>
        <v>0.30753622627664873</v>
      </c>
      <c r="K5" s="9">
        <v>44909</v>
      </c>
      <c r="L5">
        <f t="shared" si="4"/>
        <v>55.832455792395074</v>
      </c>
      <c r="M5">
        <v>815312</v>
      </c>
      <c r="N5" s="9">
        <v>3433.42</v>
      </c>
      <c r="P5">
        <v>31010.12</v>
      </c>
      <c r="Q5">
        <v>4312</v>
      </c>
      <c r="R5">
        <v>213.44</v>
      </c>
      <c r="S5">
        <v>4525.4399999999996</v>
      </c>
      <c r="T5">
        <f t="shared" si="5"/>
        <v>0.95283552538537697</v>
      </c>
      <c r="U5">
        <v>64.819999999999993</v>
      </c>
      <c r="V5">
        <f t="shared" si="6"/>
        <v>1.4323469099137322E-2</v>
      </c>
      <c r="W5">
        <v>0</v>
      </c>
      <c r="X5">
        <f t="shared" si="7"/>
        <v>0</v>
      </c>
      <c r="Y5" s="7">
        <v>146028325</v>
      </c>
    </row>
    <row r="6" spans="1:25">
      <c r="A6">
        <v>4.5</v>
      </c>
      <c r="B6" t="s">
        <v>185</v>
      </c>
      <c r="C6" s="8">
        <v>981000</v>
      </c>
      <c r="D6">
        <f t="shared" si="0"/>
        <v>1160.2718616741795</v>
      </c>
      <c r="E6" s="8">
        <v>271519300</v>
      </c>
      <c r="F6">
        <f t="shared" si="1"/>
        <v>602.50998558248386</v>
      </c>
      <c r="G6">
        <v>533</v>
      </c>
      <c r="H6">
        <f t="shared" si="2"/>
        <v>54.855086111296643</v>
      </c>
      <c r="I6">
        <v>41200464</v>
      </c>
      <c r="J6">
        <f t="shared" si="3"/>
        <v>2.3077931661056255</v>
      </c>
      <c r="K6">
        <v>1040000</v>
      </c>
      <c r="L6">
        <f t="shared" si="4"/>
        <v>3.5794759619054446</v>
      </c>
      <c r="M6">
        <v>161308</v>
      </c>
      <c r="N6">
        <v>3545.8896</v>
      </c>
      <c r="P6">
        <v>2680</v>
      </c>
      <c r="Q6">
        <v>1175</v>
      </c>
      <c r="R6">
        <v>50</v>
      </c>
      <c r="S6">
        <v>1225</v>
      </c>
      <c r="T6">
        <f t="shared" si="5"/>
        <v>0.95918367346938771</v>
      </c>
      <c r="U6">
        <v>192</v>
      </c>
      <c r="V6">
        <f t="shared" si="6"/>
        <v>0.15673469387755101</v>
      </c>
      <c r="W6">
        <v>0.45</v>
      </c>
      <c r="X6">
        <f t="shared" si="7"/>
        <v>2.3437499999999999E-3</v>
      </c>
      <c r="Y6" s="7">
        <v>450646971</v>
      </c>
    </row>
    <row r="7" spans="1:25">
      <c r="A7">
        <v>5</v>
      </c>
      <c r="B7" t="s">
        <v>101</v>
      </c>
      <c r="C7" s="8">
        <v>570572</v>
      </c>
      <c r="D7">
        <f t="shared" si="0"/>
        <v>1427.62612478544</v>
      </c>
      <c r="E7" s="8">
        <v>155877470</v>
      </c>
      <c r="F7">
        <f t="shared" si="1"/>
        <v>730.37537531972544</v>
      </c>
      <c r="G7">
        <v>534</v>
      </c>
      <c r="H7">
        <f t="shared" si="2"/>
        <v>88.845219133669559</v>
      </c>
      <c r="I7">
        <v>31602398</v>
      </c>
      <c r="J7">
        <f t="shared" si="3"/>
        <v>11.61534980265324</v>
      </c>
      <c r="K7" s="9">
        <f>2470414+8546</f>
        <v>2478960</v>
      </c>
      <c r="L7">
        <f t="shared" si="4"/>
        <v>23.26949615562031</v>
      </c>
      <c r="M7">
        <v>496620</v>
      </c>
      <c r="N7" s="9">
        <v>3383.56</v>
      </c>
      <c r="P7">
        <v>40680.39</v>
      </c>
      <c r="Q7">
        <v>5661</v>
      </c>
      <c r="R7">
        <v>2986</v>
      </c>
      <c r="S7">
        <v>8647</v>
      </c>
      <c r="T7">
        <f t="shared" si="5"/>
        <v>0.65467792297906791</v>
      </c>
      <c r="U7">
        <v>67.19</v>
      </c>
      <c r="V7">
        <f t="shared" si="6"/>
        <v>7.7703249681970619E-3</v>
      </c>
      <c r="W7">
        <v>0</v>
      </c>
      <c r="X7">
        <f t="shared" si="7"/>
        <v>0</v>
      </c>
      <c r="Y7" s="7">
        <v>213421037</v>
      </c>
    </row>
    <row r="8" spans="1:25">
      <c r="A8">
        <v>5</v>
      </c>
      <c r="B8" t="s">
        <v>81</v>
      </c>
      <c r="C8" s="8">
        <v>429355</v>
      </c>
      <c r="D8">
        <f t="shared" si="0"/>
        <v>3813.1557246183866</v>
      </c>
      <c r="E8" s="8">
        <v>59240420</v>
      </c>
      <c r="F8">
        <f t="shared" si="1"/>
        <v>1425.8038387498532</v>
      </c>
      <c r="G8">
        <v>369</v>
      </c>
      <c r="H8">
        <f t="shared" si="2"/>
        <v>75.98286804377706</v>
      </c>
      <c r="I8">
        <v>5261660</v>
      </c>
      <c r="J8">
        <f t="shared" si="3"/>
        <v>2.8616960586599075E-2</v>
      </c>
      <c r="K8" s="9">
        <v>1189</v>
      </c>
      <c r="L8">
        <f t="shared" si="4"/>
        <v>83.498947875421734</v>
      </c>
      <c r="M8">
        <v>346928</v>
      </c>
      <c r="N8" s="9">
        <v>3572.06</v>
      </c>
      <c r="P8">
        <v>73469.05</v>
      </c>
      <c r="Q8">
        <v>2850</v>
      </c>
      <c r="R8">
        <v>10.15</v>
      </c>
      <c r="S8">
        <v>2860.15</v>
      </c>
      <c r="T8">
        <f t="shared" si="5"/>
        <v>0.99645123507508349</v>
      </c>
      <c r="U8">
        <v>36.253</v>
      </c>
      <c r="V8">
        <f t="shared" si="6"/>
        <v>1.2675209342167369E-2</v>
      </c>
      <c r="W8">
        <v>0</v>
      </c>
      <c r="X8">
        <f t="shared" si="7"/>
        <v>0</v>
      </c>
      <c r="Y8" s="7">
        <v>41548787</v>
      </c>
    </row>
    <row r="9" spans="1:25">
      <c r="A9">
        <v>2</v>
      </c>
      <c r="B9" t="s">
        <v>102</v>
      </c>
      <c r="C9" s="8">
        <v>354726</v>
      </c>
      <c r="D9">
        <f t="shared" si="0"/>
        <v>245.67707774798927</v>
      </c>
      <c r="E9" s="8">
        <v>28053832</v>
      </c>
      <c r="F9">
        <f t="shared" si="1"/>
        <v>125.35224307417337</v>
      </c>
      <c r="G9">
        <v>155</v>
      </c>
      <c r="H9">
        <f t="shared" si="2"/>
        <v>4.3184691689008039</v>
      </c>
      <c r="I9">
        <v>1610789</v>
      </c>
      <c r="J9">
        <f t="shared" si="3"/>
        <v>0.46470062555853442</v>
      </c>
      <c r="K9" s="9">
        <v>104000</v>
      </c>
      <c r="L9">
        <f t="shared" si="4"/>
        <v>0.96635388739946382</v>
      </c>
      <c r="M9">
        <v>21627</v>
      </c>
      <c r="N9" s="9">
        <v>2451.69</v>
      </c>
      <c r="P9">
        <v>1388.38</v>
      </c>
      <c r="Q9">
        <v>221</v>
      </c>
      <c r="R9">
        <v>65.2</v>
      </c>
      <c r="S9">
        <v>286.2</v>
      </c>
      <c r="T9">
        <f t="shared" si="5"/>
        <v>0.77218728162124395</v>
      </c>
      <c r="U9">
        <v>12.472</v>
      </c>
      <c r="V9">
        <f t="shared" si="6"/>
        <v>4.3577917540181692E-2</v>
      </c>
      <c r="W9">
        <v>0</v>
      </c>
      <c r="X9">
        <f t="shared" si="7"/>
        <v>0</v>
      </c>
      <c r="Y9" s="7">
        <v>223800000</v>
      </c>
    </row>
    <row r="10" spans="1:25">
      <c r="A10">
        <v>5</v>
      </c>
      <c r="B10" t="s">
        <v>79</v>
      </c>
      <c r="C10" s="8">
        <v>342901</v>
      </c>
      <c r="D10">
        <f t="shared" si="0"/>
        <v>5822.4927880226405</v>
      </c>
      <c r="E10" s="8">
        <v>59307680</v>
      </c>
      <c r="F10">
        <f t="shared" si="1"/>
        <v>1804.7495587608789</v>
      </c>
      <c r="G10">
        <v>558</v>
      </c>
      <c r="H10">
        <f t="shared" si="2"/>
        <v>40.86908891729049</v>
      </c>
      <c r="I10">
        <v>2238400</v>
      </c>
      <c r="J10">
        <f t="shared" si="3"/>
        <v>3.6120747367780412E-2</v>
      </c>
      <c r="K10" s="9">
        <v>1187</v>
      </c>
      <c r="L10">
        <f t="shared" si="4"/>
        <v>2.9486945408070113</v>
      </c>
      <c r="M10">
        <v>9690</v>
      </c>
      <c r="N10" s="9">
        <v>2757.92</v>
      </c>
      <c r="P10">
        <v>4007.89</v>
      </c>
      <c r="Q10">
        <v>55.1</v>
      </c>
      <c r="R10">
        <v>120.18</v>
      </c>
      <c r="S10">
        <v>175.28</v>
      </c>
      <c r="T10">
        <f t="shared" si="5"/>
        <v>0.31435417617526246</v>
      </c>
      <c r="U10">
        <v>9.4589999999999996</v>
      </c>
      <c r="V10">
        <f t="shared" si="6"/>
        <v>5.396508443633044E-2</v>
      </c>
      <c r="W10">
        <v>0</v>
      </c>
      <c r="X10">
        <f t="shared" si="7"/>
        <v>0</v>
      </c>
      <c r="Y10" s="7">
        <v>32862000</v>
      </c>
    </row>
    <row r="11" spans="1:25">
      <c r="A11">
        <v>5</v>
      </c>
      <c r="B11" t="s">
        <v>80</v>
      </c>
      <c r="C11" s="8">
        <v>328087</v>
      </c>
      <c r="D11">
        <f t="shared" si="0"/>
        <v>2655.776757539219</v>
      </c>
      <c r="E11" s="8">
        <v>62106556</v>
      </c>
      <c r="F11">
        <f t="shared" si="1"/>
        <v>1319.5170754361791</v>
      </c>
      <c r="G11">
        <v>381</v>
      </c>
      <c r="H11">
        <f t="shared" si="2"/>
        <v>82.853138953787806</v>
      </c>
      <c r="I11">
        <v>6499503</v>
      </c>
      <c r="J11">
        <f t="shared" si="3"/>
        <v>9.0559881681769436</v>
      </c>
      <c r="K11" s="9">
        <f>391065+35179</f>
        <v>426244</v>
      </c>
      <c r="L11">
        <f t="shared" si="4"/>
        <v>6.0706250393980863</v>
      </c>
      <c r="M11">
        <v>28573</v>
      </c>
      <c r="N11" s="9">
        <v>3354.89</v>
      </c>
      <c r="P11">
        <v>19387.650000000001</v>
      </c>
      <c r="Q11">
        <v>292</v>
      </c>
      <c r="R11">
        <v>584.24</v>
      </c>
      <c r="S11">
        <v>876.24</v>
      </c>
      <c r="T11">
        <f t="shared" si="5"/>
        <v>0.33324203414589609</v>
      </c>
      <c r="U11">
        <v>37.69</v>
      </c>
      <c r="V11">
        <f t="shared" si="6"/>
        <v>4.3013329681365835E-2</v>
      </c>
      <c r="W11">
        <v>0</v>
      </c>
      <c r="X11">
        <f t="shared" si="7"/>
        <v>0</v>
      </c>
      <c r="Y11" s="7">
        <v>47067641</v>
      </c>
    </row>
    <row r="12" spans="1:25">
      <c r="A12">
        <v>5</v>
      </c>
      <c r="B12" t="s">
        <v>74</v>
      </c>
      <c r="C12" s="8">
        <v>307520</v>
      </c>
      <c r="D12">
        <f t="shared" si="0"/>
        <v>3625.1428055891797</v>
      </c>
      <c r="E12" s="8">
        <v>59043988</v>
      </c>
      <c r="F12">
        <f t="shared" si="1"/>
        <v>2154.8890506000853</v>
      </c>
      <c r="G12">
        <v>323</v>
      </c>
      <c r="H12">
        <f t="shared" si="2"/>
        <v>111.30272821403406</v>
      </c>
      <c r="I12">
        <v>5082827</v>
      </c>
      <c r="J12">
        <f t="shared" si="3"/>
        <v>58.303658469067152</v>
      </c>
      <c r="K12" s="9">
        <f>1273521+324000</f>
        <v>1597521</v>
      </c>
      <c r="L12">
        <f t="shared" si="4"/>
        <v>48.906911102560429</v>
      </c>
      <c r="M12">
        <v>134005</v>
      </c>
      <c r="N12" s="9">
        <v>3467.57</v>
      </c>
      <c r="P12">
        <v>19294.21</v>
      </c>
      <c r="Q12">
        <v>492</v>
      </c>
      <c r="S12">
        <v>492</v>
      </c>
      <c r="T12">
        <f t="shared" si="5"/>
        <v>1</v>
      </c>
      <c r="U12">
        <v>8.64</v>
      </c>
      <c r="V12">
        <f t="shared" si="6"/>
        <v>1.7560975609756099E-2</v>
      </c>
      <c r="W12">
        <v>0.59312500000000001</v>
      </c>
      <c r="X12">
        <f t="shared" si="7"/>
        <v>6.8648726851851846E-2</v>
      </c>
      <c r="Y12" s="7">
        <v>27400013</v>
      </c>
    </row>
    <row r="13" spans="1:25">
      <c r="A13">
        <v>3</v>
      </c>
      <c r="B13" t="s">
        <v>103</v>
      </c>
      <c r="C13" s="8">
        <v>247598</v>
      </c>
      <c r="D13">
        <f t="shared" si="0"/>
        <v>507.48928463629829</v>
      </c>
      <c r="E13" s="8">
        <v>73966650</v>
      </c>
      <c r="F13">
        <f t="shared" si="1"/>
        <v>260.04418061387986</v>
      </c>
      <c r="G13">
        <v>583</v>
      </c>
      <c r="H13">
        <f t="shared" si="2"/>
        <v>11.158600728363405</v>
      </c>
      <c r="I13">
        <v>5289898</v>
      </c>
      <c r="J13">
        <f t="shared" si="3"/>
        <v>8.6581020446079682E-2</v>
      </c>
      <c r="K13" s="9">
        <v>24627</v>
      </c>
      <c r="L13">
        <f t="shared" si="4"/>
        <v>3.2391152624187511</v>
      </c>
      <c r="M13">
        <v>92133</v>
      </c>
      <c r="N13" s="9">
        <v>2796.11</v>
      </c>
      <c r="P13">
        <v>7380.35</v>
      </c>
      <c r="Q13">
        <v>2018.7</v>
      </c>
      <c r="S13">
        <v>2018.7</v>
      </c>
      <c r="T13">
        <f t="shared" si="5"/>
        <v>1</v>
      </c>
      <c r="U13">
        <v>222.63499999999999</v>
      </c>
      <c r="V13">
        <f t="shared" si="6"/>
        <v>0.11028632288106206</v>
      </c>
      <c r="W13">
        <v>0</v>
      </c>
      <c r="X13">
        <f t="shared" si="7"/>
        <v>0</v>
      </c>
      <c r="Y13" s="7">
        <v>284438782</v>
      </c>
    </row>
    <row r="14" spans="1:25">
      <c r="A14">
        <v>2</v>
      </c>
      <c r="B14" t="s">
        <v>100</v>
      </c>
      <c r="C14" s="8">
        <v>219724</v>
      </c>
      <c r="D14">
        <f t="shared" si="0"/>
        <v>330.26915082048373</v>
      </c>
      <c r="E14" s="8">
        <v>53188016</v>
      </c>
      <c r="F14">
        <f t="shared" si="1"/>
        <v>220.24075079497806</v>
      </c>
      <c r="G14">
        <v>363</v>
      </c>
      <c r="H14">
        <f t="shared" si="2"/>
        <v>13.350622759852383</v>
      </c>
      <c r="I14">
        <v>5373613</v>
      </c>
      <c r="J14">
        <f t="shared" si="3"/>
        <v>3.6353998697413079</v>
      </c>
      <c r="K14" s="9">
        <f>835101+42846</f>
        <v>877947</v>
      </c>
      <c r="L14">
        <f t="shared" si="4"/>
        <v>0.15428607780032411</v>
      </c>
      <c r="M14">
        <v>3726</v>
      </c>
      <c r="N14" s="9">
        <v>2364.04</v>
      </c>
      <c r="P14">
        <v>1117.29</v>
      </c>
      <c r="Q14">
        <v>55</v>
      </c>
      <c r="R14">
        <v>191.8</v>
      </c>
      <c r="S14">
        <v>246.8</v>
      </c>
      <c r="T14">
        <f t="shared" si="5"/>
        <v>0.22285251215559157</v>
      </c>
      <c r="U14">
        <v>189.59</v>
      </c>
      <c r="V14">
        <f t="shared" si="6"/>
        <v>0.76819286871961101</v>
      </c>
      <c r="W14">
        <v>0</v>
      </c>
      <c r="X14">
        <f t="shared" si="7"/>
        <v>0</v>
      </c>
      <c r="Y14" s="7">
        <v>241499431</v>
      </c>
    </row>
    <row r="15" spans="1:25">
      <c r="A15">
        <v>4</v>
      </c>
      <c r="B15" t="s">
        <v>91</v>
      </c>
      <c r="C15" s="8">
        <v>209211</v>
      </c>
      <c r="D15">
        <f t="shared" si="0"/>
        <v>893.84551515028136</v>
      </c>
      <c r="E15" s="8">
        <v>42193310</v>
      </c>
      <c r="F15">
        <f t="shared" si="1"/>
        <v>492.53881494395188</v>
      </c>
      <c r="G15">
        <v>366</v>
      </c>
      <c r="H15">
        <f t="shared" si="2"/>
        <v>33.385110249999116</v>
      </c>
      <c r="I15">
        <v>4766556</v>
      </c>
      <c r="J15">
        <f t="shared" si="3"/>
        <v>12.813817983701711</v>
      </c>
      <c r="K15" s="9">
        <f>1017500+80195</f>
        <v>1097695</v>
      </c>
      <c r="L15">
        <f t="shared" si="4"/>
        <v>2.5938264781915925</v>
      </c>
      <c r="M15">
        <v>22220</v>
      </c>
      <c r="N15" s="9">
        <v>3784.93</v>
      </c>
      <c r="P15">
        <v>2508.92</v>
      </c>
      <c r="Q15">
        <v>227</v>
      </c>
      <c r="S15">
        <v>227</v>
      </c>
      <c r="T15">
        <f t="shared" si="5"/>
        <v>1</v>
      </c>
      <c r="U15">
        <v>61.5336</v>
      </c>
      <c r="V15">
        <f t="shared" si="6"/>
        <v>0.27107312775330394</v>
      </c>
      <c r="W15">
        <v>0</v>
      </c>
      <c r="X15">
        <f t="shared" si="7"/>
        <v>0</v>
      </c>
      <c r="Y15" s="7">
        <v>85664944</v>
      </c>
    </row>
    <row r="16" spans="1:25">
      <c r="A16">
        <v>3</v>
      </c>
      <c r="B16" t="s">
        <v>96</v>
      </c>
      <c r="C16" s="8">
        <v>202229</v>
      </c>
      <c r="D16">
        <f t="shared" si="0"/>
        <v>659.76668905519739</v>
      </c>
      <c r="E16" s="8">
        <v>37015880</v>
      </c>
      <c r="F16">
        <f t="shared" si="1"/>
        <v>283.48196196192151</v>
      </c>
      <c r="G16">
        <v>426</v>
      </c>
      <c r="H16">
        <f t="shared" si="2"/>
        <v>37.106257970371324</v>
      </c>
      <c r="I16">
        <v>8075298</v>
      </c>
      <c r="J16">
        <f t="shared" si="3"/>
        <v>1.8197631220845187</v>
      </c>
      <c r="K16" s="9">
        <f>233820+3797</f>
        <v>237617</v>
      </c>
      <c r="L16">
        <f t="shared" si="4"/>
        <v>5.0309480809864704</v>
      </c>
      <c r="M16">
        <v>65692</v>
      </c>
      <c r="N16" s="9">
        <v>3297.65</v>
      </c>
      <c r="P16">
        <v>3582.39</v>
      </c>
      <c r="Q16">
        <v>409</v>
      </c>
      <c r="R16">
        <v>52.89</v>
      </c>
      <c r="S16">
        <v>461.89</v>
      </c>
      <c r="T16">
        <f t="shared" si="5"/>
        <v>0.88549221676156664</v>
      </c>
      <c r="U16">
        <v>89.548000000000002</v>
      </c>
      <c r="V16">
        <f t="shared" si="6"/>
        <v>0.19387300006495053</v>
      </c>
      <c r="W16">
        <v>0</v>
      </c>
      <c r="X16">
        <f t="shared" si="7"/>
        <v>0</v>
      </c>
      <c r="Y16" s="7">
        <v>130575786</v>
      </c>
    </row>
    <row r="17" spans="1:25">
      <c r="A17">
        <v>5</v>
      </c>
      <c r="B17" t="s">
        <v>88</v>
      </c>
      <c r="C17" s="8">
        <v>180955</v>
      </c>
      <c r="D17">
        <f t="shared" si="0"/>
        <v>1915.2440746564175</v>
      </c>
      <c r="E17" s="8">
        <v>64240810</v>
      </c>
      <c r="F17">
        <f t="shared" si="1"/>
        <v>935.25521197297928</v>
      </c>
      <c r="G17">
        <v>727</v>
      </c>
      <c r="H17">
        <f t="shared" si="2"/>
        <v>43.463775331935707</v>
      </c>
      <c r="I17">
        <v>4975733</v>
      </c>
      <c r="J17">
        <f t="shared" si="3"/>
        <v>0</v>
      </c>
      <c r="K17" s="9"/>
      <c r="L17">
        <f t="shared" si="4"/>
        <v>2.5117924528301887</v>
      </c>
      <c r="M17">
        <v>17253</v>
      </c>
      <c r="N17" s="9">
        <v>3505.48</v>
      </c>
      <c r="P17">
        <v>3232.55</v>
      </c>
      <c r="Q17">
        <v>200</v>
      </c>
      <c r="R17">
        <v>11</v>
      </c>
      <c r="S17">
        <v>211</v>
      </c>
      <c r="T17">
        <f t="shared" si="5"/>
        <v>0.94786729857819907</v>
      </c>
      <c r="U17">
        <v>26.272099999999998</v>
      </c>
      <c r="V17">
        <f t="shared" si="6"/>
        <v>0.12451232227488152</v>
      </c>
      <c r="W17">
        <v>0</v>
      </c>
      <c r="X17">
        <f t="shared" si="7"/>
        <v>0</v>
      </c>
      <c r="Y17" s="7">
        <v>68688000</v>
      </c>
    </row>
    <row r="18" spans="1:25">
      <c r="A18">
        <v>2</v>
      </c>
      <c r="B18" t="s">
        <v>86</v>
      </c>
      <c r="C18" s="8">
        <v>158208</v>
      </c>
      <c r="D18">
        <f t="shared" si="0"/>
        <v>445.39193355126162</v>
      </c>
      <c r="E18" s="8">
        <v>20964154</v>
      </c>
      <c r="F18">
        <f t="shared" si="1"/>
        <v>243.87982922488106</v>
      </c>
      <c r="G18">
        <v>242</v>
      </c>
      <c r="H18">
        <f t="shared" si="2"/>
        <v>18.244534149207198</v>
      </c>
      <c r="I18">
        <v>2613864</v>
      </c>
      <c r="J18">
        <f t="shared" si="3"/>
        <v>0.9342608857505148</v>
      </c>
      <c r="K18" s="9">
        <f>32604+47706</f>
        <v>80310</v>
      </c>
      <c r="L18">
        <f t="shared" si="4"/>
        <v>1.2507997812961691</v>
      </c>
      <c r="M18">
        <v>10752</v>
      </c>
      <c r="N18" s="9">
        <v>2847.25</v>
      </c>
      <c r="P18">
        <v>1631.63</v>
      </c>
      <c r="Q18">
        <v>128.5</v>
      </c>
      <c r="R18">
        <v>8.5399999999999991</v>
      </c>
      <c r="S18">
        <v>137.04</v>
      </c>
      <c r="T18">
        <f t="shared" si="5"/>
        <v>0.93768242848803274</v>
      </c>
      <c r="U18">
        <v>92.95</v>
      </c>
      <c r="V18">
        <f t="shared" si="6"/>
        <v>0.67826911850554583</v>
      </c>
      <c r="W18">
        <v>0</v>
      </c>
      <c r="X18">
        <f t="shared" si="7"/>
        <v>0</v>
      </c>
      <c r="Y18" s="7">
        <v>85961000</v>
      </c>
    </row>
    <row r="19" spans="1:25">
      <c r="A19">
        <v>4</v>
      </c>
      <c r="B19" t="s">
        <v>92</v>
      </c>
      <c r="C19" s="8">
        <v>158035</v>
      </c>
      <c r="D19">
        <f t="shared" si="0"/>
        <v>736.66884604896109</v>
      </c>
      <c r="E19" s="8">
        <v>38532090</v>
      </c>
      <c r="F19">
        <f t="shared" si="1"/>
        <v>585.06378109567561</v>
      </c>
      <c r="G19">
        <v>307</v>
      </c>
      <c r="H19">
        <f t="shared" si="2"/>
        <v>27.223741277662619</v>
      </c>
      <c r="I19">
        <v>2988243</v>
      </c>
      <c r="J19">
        <f t="shared" si="3"/>
        <v>2.6981623343219005E-2</v>
      </c>
      <c r="K19" s="9">
        <v>1777</v>
      </c>
      <c r="L19">
        <f t="shared" si="4"/>
        <v>3.017477775463091</v>
      </c>
      <c r="M19">
        <v>19873</v>
      </c>
      <c r="N19" s="9">
        <v>2876.51</v>
      </c>
      <c r="P19">
        <v>6283.81</v>
      </c>
      <c r="Q19">
        <v>224.51</v>
      </c>
      <c r="R19">
        <v>214.1</v>
      </c>
      <c r="S19">
        <v>438.61</v>
      </c>
      <c r="T19">
        <f t="shared" si="5"/>
        <v>0.51186703449533755</v>
      </c>
      <c r="U19">
        <v>57.307000000000002</v>
      </c>
      <c r="V19">
        <f t="shared" si="6"/>
        <v>0.13065593579717744</v>
      </c>
      <c r="W19">
        <v>0</v>
      </c>
      <c r="X19">
        <f t="shared" si="7"/>
        <v>0</v>
      </c>
      <c r="Y19" s="7">
        <v>65859640</v>
      </c>
    </row>
    <row r="20" spans="1:25">
      <c r="A20">
        <v>3</v>
      </c>
      <c r="B20" t="s">
        <v>82</v>
      </c>
      <c r="C20" s="8">
        <v>125845</v>
      </c>
      <c r="D20">
        <f t="shared" si="0"/>
        <v>558.84669278086892</v>
      </c>
      <c r="E20" s="8">
        <v>11928280</v>
      </c>
      <c r="F20">
        <f t="shared" si="1"/>
        <v>241.87469250566383</v>
      </c>
      <c r="G20">
        <v>219</v>
      </c>
      <c r="H20">
        <f t="shared" si="2"/>
        <v>89.494528433387742</v>
      </c>
      <c r="I20">
        <v>7355846</v>
      </c>
      <c r="J20">
        <f t="shared" si="3"/>
        <v>0.822228930441955</v>
      </c>
      <c r="K20" s="9">
        <v>40549</v>
      </c>
      <c r="L20">
        <f t="shared" si="4"/>
        <v>3.765921649403928</v>
      </c>
      <c r="M20">
        <v>18572</v>
      </c>
      <c r="N20" s="9">
        <v>3356.26</v>
      </c>
      <c r="P20">
        <v>2384.7800000000002</v>
      </c>
      <c r="Q20">
        <v>111.2</v>
      </c>
      <c r="R20">
        <v>0.3</v>
      </c>
      <c r="S20">
        <v>111.5</v>
      </c>
      <c r="T20">
        <f t="shared" si="5"/>
        <v>0.9973094170403588</v>
      </c>
      <c r="U20">
        <v>29.02</v>
      </c>
      <c r="V20">
        <f t="shared" si="6"/>
        <v>0.26026905829596414</v>
      </c>
      <c r="W20">
        <v>0.5</v>
      </c>
      <c r="X20">
        <f t="shared" si="7"/>
        <v>1.722949689869056E-2</v>
      </c>
      <c r="Y20" s="7">
        <v>49315949</v>
      </c>
    </row>
    <row r="21" spans="1:25">
      <c r="A21">
        <v>3</v>
      </c>
      <c r="B21" t="s">
        <v>85</v>
      </c>
      <c r="C21" s="8">
        <v>120780</v>
      </c>
      <c r="D21">
        <f t="shared" si="0"/>
        <v>1096.7655080284455</v>
      </c>
      <c r="E21" s="8">
        <v>19009088</v>
      </c>
      <c r="F21">
        <f t="shared" si="1"/>
        <v>301.24886402255942</v>
      </c>
      <c r="G21">
        <v>573</v>
      </c>
      <c r="H21">
        <f t="shared" si="2"/>
        <v>32.915449998411276</v>
      </c>
      <c r="I21">
        <v>3461660</v>
      </c>
      <c r="J21">
        <f t="shared" si="3"/>
        <v>0.93879735081621996</v>
      </c>
      <c r="K21" s="9">
        <f>13987+45252</f>
        <v>59239</v>
      </c>
      <c r="L21">
        <f t="shared" si="4"/>
        <v>2.702019755805559</v>
      </c>
      <c r="M21">
        <v>17050</v>
      </c>
      <c r="N21" s="9">
        <v>2651.04</v>
      </c>
      <c r="P21">
        <v>5700.62</v>
      </c>
      <c r="Q21">
        <v>80.2</v>
      </c>
      <c r="R21">
        <v>24.6</v>
      </c>
      <c r="S21">
        <v>104.8</v>
      </c>
      <c r="T21">
        <f t="shared" si="5"/>
        <v>0.76526717557251911</v>
      </c>
      <c r="U21">
        <v>20.309999999999999</v>
      </c>
      <c r="V21">
        <f t="shared" si="6"/>
        <v>0.1937977099236641</v>
      </c>
      <c r="W21">
        <v>0</v>
      </c>
      <c r="X21">
        <f t="shared" si="7"/>
        <v>0</v>
      </c>
      <c r="Y21" s="7">
        <v>63100945</v>
      </c>
    </row>
    <row r="22" spans="1:25">
      <c r="A22">
        <v>4</v>
      </c>
      <c r="B22" t="s">
        <v>93</v>
      </c>
      <c r="C22" s="8">
        <v>119344</v>
      </c>
      <c r="D22">
        <f t="shared" si="0"/>
        <v>1001.7135906293603</v>
      </c>
      <c r="E22" s="8">
        <v>42462800</v>
      </c>
      <c r="F22">
        <f t="shared" si="1"/>
        <v>508.43283100464657</v>
      </c>
      <c r="G22">
        <v>701</v>
      </c>
      <c r="H22">
        <f t="shared" si="2"/>
        <v>48.688369306236105</v>
      </c>
      <c r="I22">
        <v>6777180</v>
      </c>
      <c r="J22">
        <f t="shared" si="3"/>
        <v>0</v>
      </c>
      <c r="K22" s="9"/>
      <c r="L22">
        <f t="shared" si="4"/>
        <v>1.3672660534025216</v>
      </c>
      <c r="M22">
        <v>11419</v>
      </c>
      <c r="N22" s="9">
        <v>3573.13</v>
      </c>
      <c r="P22">
        <v>1838.06</v>
      </c>
      <c r="Q22">
        <v>107</v>
      </c>
      <c r="R22">
        <v>47</v>
      </c>
      <c r="S22">
        <v>154</v>
      </c>
      <c r="T22">
        <f t="shared" si="5"/>
        <v>0.69480519480519476</v>
      </c>
      <c r="U22">
        <v>24.443000000000001</v>
      </c>
      <c r="V22">
        <f t="shared" si="6"/>
        <v>0.15872077922077923</v>
      </c>
      <c r="W22">
        <v>0</v>
      </c>
      <c r="X22">
        <f t="shared" si="7"/>
        <v>0</v>
      </c>
      <c r="Y22" s="7">
        <v>83517030</v>
      </c>
    </row>
    <row r="23" spans="1:25">
      <c r="A23">
        <v>5</v>
      </c>
      <c r="B23" t="s">
        <v>77</v>
      </c>
      <c r="C23" s="8">
        <v>113197</v>
      </c>
      <c r="D23">
        <f t="shared" si="0"/>
        <v>1479.9960696238068</v>
      </c>
      <c r="E23" s="8">
        <v>35183860</v>
      </c>
      <c r="F23">
        <f t="shared" si="1"/>
        <v>940.71976685115374</v>
      </c>
      <c r="G23">
        <v>489</v>
      </c>
      <c r="H23">
        <f t="shared" si="2"/>
        <v>81.18933183604716</v>
      </c>
      <c r="I23">
        <v>5060937</v>
      </c>
      <c r="J23">
        <f t="shared" si="3"/>
        <v>0</v>
      </c>
      <c r="K23" s="9"/>
      <c r="L23">
        <f t="shared" si="4"/>
        <v>2.5354937033769152</v>
      </c>
      <c r="M23">
        <v>9483</v>
      </c>
      <c r="N23" s="9">
        <v>3754.6</v>
      </c>
      <c r="P23">
        <v>1598.56</v>
      </c>
      <c r="Q23">
        <v>53.6</v>
      </c>
      <c r="R23">
        <v>6.9</v>
      </c>
      <c r="S23">
        <v>60.5</v>
      </c>
      <c r="T23">
        <f t="shared" si="5"/>
        <v>0.8859504132231405</v>
      </c>
      <c r="U23">
        <v>8.6669999999999998</v>
      </c>
      <c r="V23">
        <f t="shared" si="6"/>
        <v>0.14325619834710743</v>
      </c>
      <c r="W23">
        <v>0</v>
      </c>
      <c r="X23">
        <f t="shared" si="7"/>
        <v>0</v>
      </c>
      <c r="Y23" s="7">
        <v>37401000</v>
      </c>
    </row>
    <row r="24" spans="1:25">
      <c r="A24">
        <v>4</v>
      </c>
      <c r="B24" t="s">
        <v>68</v>
      </c>
      <c r="C24" s="8">
        <v>93214</v>
      </c>
      <c r="D24">
        <f t="shared" si="0"/>
        <v>1968.4790385138583</v>
      </c>
      <c r="E24" s="8">
        <v>20784510</v>
      </c>
      <c r="F24">
        <f t="shared" si="1"/>
        <v>1091.8510271390082</v>
      </c>
      <c r="G24">
        <v>402</v>
      </c>
      <c r="H24">
        <f t="shared" si="2"/>
        <v>30.500065901342566</v>
      </c>
      <c r="I24">
        <v>967667</v>
      </c>
      <c r="J24">
        <f t="shared" si="3"/>
        <v>0</v>
      </c>
      <c r="K24" s="9"/>
      <c r="L24">
        <f t="shared" si="4"/>
        <v>3.6399394390563873</v>
      </c>
      <c r="M24">
        <v>6929</v>
      </c>
      <c r="N24" s="9">
        <v>3716.52</v>
      </c>
      <c r="P24">
        <v>11020.55</v>
      </c>
      <c r="Q24">
        <v>42.38</v>
      </c>
      <c r="R24">
        <v>169.63</v>
      </c>
      <c r="S24">
        <v>212.01</v>
      </c>
      <c r="T24">
        <f t="shared" si="5"/>
        <v>0.19989623130984391</v>
      </c>
      <c r="U24">
        <v>6.4160000000000004</v>
      </c>
      <c r="V24">
        <f t="shared" si="6"/>
        <v>3.0262723456440738E-2</v>
      </c>
      <c r="W24">
        <v>0</v>
      </c>
      <c r="X24">
        <f t="shared" si="7"/>
        <v>0</v>
      </c>
      <c r="Y24" s="7">
        <v>19036031</v>
      </c>
    </row>
    <row r="25" spans="1:25">
      <c r="A25">
        <v>2</v>
      </c>
      <c r="B25" t="s">
        <v>99</v>
      </c>
      <c r="C25" s="8">
        <v>87615</v>
      </c>
      <c r="D25">
        <f t="shared" si="0"/>
        <v>266.20520460147094</v>
      </c>
      <c r="E25" s="8">
        <v>64325664</v>
      </c>
      <c r="F25">
        <f t="shared" si="1"/>
        <v>378.76745261588587</v>
      </c>
      <c r="G25">
        <v>516</v>
      </c>
      <c r="H25">
        <f t="shared" si="2"/>
        <v>2.7052355061029627</v>
      </c>
      <c r="I25">
        <v>765712</v>
      </c>
      <c r="J25">
        <f t="shared" si="3"/>
        <v>10.956897674507257</v>
      </c>
      <c r="K25" s="9">
        <f>22350+1835937+2511</f>
        <v>1860798</v>
      </c>
      <c r="L25">
        <f t="shared" si="4"/>
        <v>0.11087629243527329</v>
      </c>
      <c r="M25">
        <v>1883</v>
      </c>
      <c r="N25" s="9">
        <v>2608.2399999999998</v>
      </c>
      <c r="P25">
        <v>7450.58</v>
      </c>
      <c r="Q25">
        <v>105</v>
      </c>
      <c r="R25">
        <v>1122.03</v>
      </c>
      <c r="S25">
        <v>1227.03</v>
      </c>
      <c r="T25">
        <f t="shared" si="5"/>
        <v>8.5572479890467235E-2</v>
      </c>
      <c r="U25">
        <v>35.869999999999997</v>
      </c>
      <c r="V25">
        <f t="shared" si="6"/>
        <v>2.9233189082581518E-2</v>
      </c>
      <c r="W25">
        <v>0</v>
      </c>
      <c r="X25">
        <f t="shared" si="7"/>
        <v>0</v>
      </c>
      <c r="Y25" s="7">
        <v>169828911</v>
      </c>
    </row>
    <row r="26" spans="1:25">
      <c r="A26">
        <v>2</v>
      </c>
      <c r="B26" t="s">
        <v>72</v>
      </c>
      <c r="C26" s="8">
        <v>78155</v>
      </c>
      <c r="D26">
        <f t="shared" si="0"/>
        <v>308.07129629629628</v>
      </c>
      <c r="E26" s="8">
        <v>5674771</v>
      </c>
      <c r="F26">
        <f t="shared" si="1"/>
        <v>150.12621693121693</v>
      </c>
      <c r="G26">
        <v>149</v>
      </c>
      <c r="H26">
        <f t="shared" si="2"/>
        <v>19.502555555555556</v>
      </c>
      <c r="I26">
        <v>1228661</v>
      </c>
      <c r="J26">
        <f t="shared" si="3"/>
        <v>1.6645767195767196</v>
      </c>
      <c r="K26" s="9">
        <v>62921</v>
      </c>
      <c r="L26">
        <f t="shared" si="4"/>
        <v>1.519047619047619</v>
      </c>
      <c r="M26">
        <v>5742</v>
      </c>
      <c r="N26" s="9">
        <v>3339.28</v>
      </c>
      <c r="O26">
        <v>1</v>
      </c>
      <c r="P26">
        <v>785.68</v>
      </c>
      <c r="Q26">
        <v>29</v>
      </c>
      <c r="S26">
        <v>29</v>
      </c>
      <c r="T26">
        <f t="shared" si="5"/>
        <v>1</v>
      </c>
      <c r="U26">
        <v>10.573</v>
      </c>
      <c r="V26">
        <f t="shared" si="6"/>
        <v>0.36458620689655175</v>
      </c>
      <c r="W26">
        <v>0.34499999999999997</v>
      </c>
      <c r="X26">
        <f t="shared" si="7"/>
        <v>3.2630284687411325E-2</v>
      </c>
      <c r="Y26" s="7">
        <v>37800000</v>
      </c>
    </row>
    <row r="27" spans="1:25">
      <c r="A27">
        <v>1</v>
      </c>
      <c r="B27" t="s">
        <v>73</v>
      </c>
      <c r="C27" s="8">
        <v>73833</v>
      </c>
      <c r="D27">
        <f t="shared" si="0"/>
        <v>191.59196202531646</v>
      </c>
      <c r="E27" s="8">
        <v>3589553</v>
      </c>
      <c r="F27">
        <f t="shared" si="1"/>
        <v>75.72896624472574</v>
      </c>
      <c r="G27">
        <v>123</v>
      </c>
      <c r="H27">
        <f t="shared" si="2"/>
        <v>12.902582278481013</v>
      </c>
      <c r="I27">
        <v>1019304</v>
      </c>
      <c r="J27">
        <f t="shared" si="3"/>
        <v>0.7471518987341772</v>
      </c>
      <c r="K27" s="9">
        <v>35415</v>
      </c>
      <c r="L27">
        <f t="shared" si="4"/>
        <v>0.41118143459915613</v>
      </c>
      <c r="M27">
        <v>1949</v>
      </c>
      <c r="N27" s="9">
        <v>3424.51</v>
      </c>
      <c r="O27">
        <v>1</v>
      </c>
      <c r="P27">
        <v>266.06</v>
      </c>
      <c r="Q27">
        <v>11.25</v>
      </c>
      <c r="R27">
        <v>0.42</v>
      </c>
      <c r="S27">
        <v>11.67</v>
      </c>
      <c r="T27">
        <f t="shared" si="5"/>
        <v>0.96401028277634959</v>
      </c>
      <c r="U27">
        <v>9.8019999999999996</v>
      </c>
      <c r="V27">
        <f t="shared" si="6"/>
        <v>0.83993144815766918</v>
      </c>
      <c r="W27">
        <v>1.1000000000000001</v>
      </c>
      <c r="X27">
        <f t="shared" si="7"/>
        <v>0.11222199551112019</v>
      </c>
      <c r="Y27" s="7">
        <v>47400000</v>
      </c>
    </row>
    <row r="28" spans="1:25">
      <c r="A28">
        <v>3</v>
      </c>
      <c r="B28" t="s">
        <v>83</v>
      </c>
      <c r="C28" s="8">
        <v>68697</v>
      </c>
      <c r="D28">
        <f t="shared" si="0"/>
        <v>589.97176303899425</v>
      </c>
      <c r="E28" s="8">
        <v>15452820</v>
      </c>
      <c r="F28">
        <f t="shared" si="1"/>
        <v>262.27124828345518</v>
      </c>
      <c r="G28">
        <v>506</v>
      </c>
      <c r="H28">
        <f t="shared" si="2"/>
        <v>32.586983910006971</v>
      </c>
      <c r="I28">
        <v>3200000</v>
      </c>
      <c r="J28">
        <f t="shared" si="3"/>
        <v>0</v>
      </c>
      <c r="K28" s="9"/>
      <c r="L28">
        <f t="shared" si="4"/>
        <v>1.6235785837662848</v>
      </c>
      <c r="M28">
        <v>9566</v>
      </c>
      <c r="N28" s="9">
        <v>3667.36</v>
      </c>
      <c r="P28">
        <v>3163.98</v>
      </c>
      <c r="Q28">
        <v>182.5</v>
      </c>
      <c r="R28">
        <v>8.8000000000000007</v>
      </c>
      <c r="S28">
        <v>191.3</v>
      </c>
      <c r="T28">
        <f t="shared" si="5"/>
        <v>0.95399895452169359</v>
      </c>
      <c r="U28">
        <v>33.645000000000003</v>
      </c>
      <c r="V28">
        <f t="shared" si="6"/>
        <v>0.17587558808154732</v>
      </c>
      <c r="W28">
        <v>0</v>
      </c>
      <c r="X28">
        <f t="shared" si="7"/>
        <v>0</v>
      </c>
      <c r="Y28" s="7">
        <v>58919230</v>
      </c>
    </row>
    <row r="29" spans="1:25">
      <c r="A29">
        <v>3</v>
      </c>
      <c r="B29" t="s">
        <v>95</v>
      </c>
      <c r="C29" s="8">
        <v>68227</v>
      </c>
      <c r="D29">
        <f t="shared" si="0"/>
        <v>403.93393577110783</v>
      </c>
      <c r="E29" s="8">
        <v>47935652</v>
      </c>
      <c r="F29">
        <f t="shared" si="1"/>
        <v>473.00034141210415</v>
      </c>
      <c r="G29">
        <v>600</v>
      </c>
      <c r="H29">
        <f t="shared" si="2"/>
        <v>33.606253169902843</v>
      </c>
      <c r="I29">
        <v>5676309</v>
      </c>
      <c r="J29">
        <f t="shared" si="3"/>
        <v>2.3879112486407655E-3</v>
      </c>
      <c r="K29" s="9">
        <v>242</v>
      </c>
      <c r="L29">
        <f t="shared" si="4"/>
        <v>1.4448836534647409</v>
      </c>
      <c r="M29">
        <v>14643</v>
      </c>
      <c r="N29" s="9">
        <v>3026.15</v>
      </c>
      <c r="P29">
        <v>9082.94</v>
      </c>
      <c r="Q29">
        <v>359.42</v>
      </c>
      <c r="R29">
        <v>524.70000000000005</v>
      </c>
      <c r="S29">
        <v>884.12</v>
      </c>
      <c r="T29">
        <f t="shared" si="5"/>
        <v>0.40652852553951951</v>
      </c>
      <c r="U29">
        <v>81.861999999999995</v>
      </c>
      <c r="V29">
        <f t="shared" si="6"/>
        <v>9.2591503415825893E-2</v>
      </c>
      <c r="W29">
        <v>0</v>
      </c>
      <c r="X29">
        <f t="shared" si="7"/>
        <v>0</v>
      </c>
      <c r="Y29" s="7">
        <v>101343800</v>
      </c>
    </row>
    <row r="30" spans="1:25">
      <c r="A30">
        <v>3</v>
      </c>
      <c r="B30" t="s">
        <v>90</v>
      </c>
      <c r="C30" s="8">
        <v>60171</v>
      </c>
      <c r="D30">
        <f t="shared" si="0"/>
        <v>629.34098685613048</v>
      </c>
      <c r="E30" s="8">
        <v>22047420</v>
      </c>
      <c r="F30">
        <f t="shared" si="1"/>
        <v>322.96715007493788</v>
      </c>
      <c r="G30">
        <v>714</v>
      </c>
      <c r="H30">
        <f t="shared" si="2"/>
        <v>36.098206335235858</v>
      </c>
      <c r="I30">
        <v>4107086</v>
      </c>
      <c r="J30">
        <f t="shared" si="3"/>
        <v>1.0501689081476335</v>
      </c>
      <c r="K30" s="9">
        <v>71690</v>
      </c>
      <c r="L30">
        <f t="shared" si="4"/>
        <v>0.46729513418760643</v>
      </c>
      <c r="M30">
        <v>3190</v>
      </c>
      <c r="N30" s="9">
        <v>3322.31</v>
      </c>
      <c r="P30">
        <v>2165.39</v>
      </c>
      <c r="Q30">
        <v>145</v>
      </c>
      <c r="R30">
        <v>2</v>
      </c>
      <c r="S30">
        <v>147</v>
      </c>
      <c r="T30">
        <f t="shared" si="5"/>
        <v>0.98639455782312924</v>
      </c>
      <c r="U30">
        <v>8.4190000000000005</v>
      </c>
      <c r="V30">
        <f t="shared" si="6"/>
        <v>5.7272108843537416E-2</v>
      </c>
      <c r="W30">
        <v>0</v>
      </c>
      <c r="X30">
        <f t="shared" si="7"/>
        <v>0</v>
      </c>
      <c r="Y30" s="7">
        <v>68265209</v>
      </c>
    </row>
    <row r="31" spans="1:25">
      <c r="A31">
        <v>1</v>
      </c>
      <c r="B31" t="s">
        <v>94</v>
      </c>
      <c r="C31" s="8">
        <v>54600</v>
      </c>
      <c r="D31">
        <f t="shared" si="0"/>
        <v>185.15188795306142</v>
      </c>
      <c r="E31" s="8">
        <v>28465200</v>
      </c>
      <c r="F31">
        <f t="shared" si="1"/>
        <v>249.42430838143906</v>
      </c>
      <c r="G31">
        <v>387</v>
      </c>
      <c r="H31">
        <f t="shared" si="2"/>
        <v>15.972335257562852</v>
      </c>
      <c r="I31">
        <v>3038034</v>
      </c>
      <c r="J31">
        <f t="shared" si="3"/>
        <v>0</v>
      </c>
      <c r="K31" s="9"/>
      <c r="L31">
        <f t="shared" si="4"/>
        <v>0.62993105720464482</v>
      </c>
      <c r="M31">
        <v>7189</v>
      </c>
      <c r="N31" s="9">
        <v>2888.67</v>
      </c>
      <c r="P31">
        <v>4371.1899999999996</v>
      </c>
      <c r="Q31">
        <v>479</v>
      </c>
      <c r="S31">
        <v>479</v>
      </c>
      <c r="T31">
        <f t="shared" si="5"/>
        <v>1</v>
      </c>
      <c r="U31">
        <v>85.867100000000008</v>
      </c>
      <c r="V31">
        <f t="shared" si="6"/>
        <v>0.17926325678496871</v>
      </c>
      <c r="W31">
        <v>0</v>
      </c>
      <c r="X31">
        <f t="shared" si="7"/>
        <v>0</v>
      </c>
      <c r="Y31" s="7">
        <v>114123600</v>
      </c>
    </row>
    <row r="32" spans="1:25">
      <c r="A32">
        <v>1</v>
      </c>
      <c r="B32" t="s">
        <v>97</v>
      </c>
      <c r="C32" s="8">
        <v>44226</v>
      </c>
      <c r="D32">
        <f t="shared" si="0"/>
        <v>224.17883211678833</v>
      </c>
      <c r="E32" s="8">
        <v>11498534</v>
      </c>
      <c r="F32">
        <f t="shared" si="1"/>
        <v>93.256561232765605</v>
      </c>
      <c r="G32">
        <v>625</v>
      </c>
      <c r="H32">
        <f t="shared" si="2"/>
        <v>20.370856447688563</v>
      </c>
      <c r="I32">
        <v>4186211</v>
      </c>
      <c r="J32">
        <f t="shared" si="3"/>
        <v>0</v>
      </c>
      <c r="K32" s="9"/>
      <c r="L32">
        <f t="shared" si="4"/>
        <v>2.0223033252230334</v>
      </c>
      <c r="M32">
        <v>24935</v>
      </c>
      <c r="N32" s="9">
        <v>2670.09</v>
      </c>
      <c r="P32">
        <v>3399.84</v>
      </c>
      <c r="Q32">
        <v>430</v>
      </c>
      <c r="S32">
        <v>430</v>
      </c>
      <c r="T32">
        <f t="shared" si="5"/>
        <v>1</v>
      </c>
      <c r="U32">
        <v>78.400000000000006</v>
      </c>
      <c r="V32">
        <f t="shared" si="6"/>
        <v>0.18232558139534885</v>
      </c>
      <c r="W32">
        <v>0</v>
      </c>
      <c r="X32">
        <f t="shared" si="7"/>
        <v>0</v>
      </c>
      <c r="Y32" s="7">
        <v>123300000</v>
      </c>
    </row>
    <row r="33" spans="1:25">
      <c r="A33">
        <v>1</v>
      </c>
      <c r="B33" t="s">
        <v>71</v>
      </c>
      <c r="C33" s="8">
        <v>36817</v>
      </c>
      <c r="D33">
        <f t="shared" si="0"/>
        <v>222.52032967032966</v>
      </c>
      <c r="E33" s="8">
        <v>5224353</v>
      </c>
      <c r="F33">
        <f t="shared" si="1"/>
        <v>114.82094505494506</v>
      </c>
      <c r="G33">
        <v>275</v>
      </c>
      <c r="H33">
        <f t="shared" si="2"/>
        <v>4.3847076923076926</v>
      </c>
      <c r="I33">
        <v>332507</v>
      </c>
      <c r="J33">
        <f t="shared" si="3"/>
        <v>0.31239560439560438</v>
      </c>
      <c r="K33" s="9">
        <v>14214</v>
      </c>
      <c r="L33">
        <f t="shared" si="4"/>
        <v>0.18131868131868131</v>
      </c>
      <c r="M33">
        <v>825</v>
      </c>
      <c r="N33" s="9">
        <v>2325.39</v>
      </c>
      <c r="P33">
        <v>2234.0700000000002</v>
      </c>
      <c r="Q33">
        <v>35.200000000000003</v>
      </c>
      <c r="R33">
        <v>54.66</v>
      </c>
      <c r="S33">
        <v>89.86</v>
      </c>
      <c r="T33">
        <f t="shared" si="5"/>
        <v>0.39172045403961719</v>
      </c>
      <c r="U33">
        <v>56.613999999999997</v>
      </c>
      <c r="V33">
        <f t="shared" si="6"/>
        <v>0.63002448252837739</v>
      </c>
      <c r="W33">
        <v>0</v>
      </c>
      <c r="X33">
        <f t="shared" si="7"/>
        <v>0</v>
      </c>
      <c r="Y33" s="7">
        <v>45500000</v>
      </c>
    </row>
    <row r="34" spans="1:25">
      <c r="A34">
        <v>1</v>
      </c>
      <c r="B34" t="s">
        <v>75</v>
      </c>
      <c r="C34" s="8">
        <v>32250</v>
      </c>
      <c r="D34">
        <f t="shared" ref="D34:D52" si="8">C34*G34*1000/Y34</f>
        <v>467.7583293956875</v>
      </c>
      <c r="E34" s="8">
        <v>1192999</v>
      </c>
      <c r="F34">
        <f t="shared" ref="F34:F52" si="9">E34*1000/Y34</f>
        <v>33.795737597548801</v>
      </c>
      <c r="G34">
        <v>512</v>
      </c>
      <c r="H34">
        <f t="shared" ref="H34:H52" si="10">I34*600/Y34</f>
        <v>24.609136244811655</v>
      </c>
      <c r="I34">
        <v>1447849</v>
      </c>
      <c r="J34">
        <f t="shared" ref="J34:J52" si="11">K34*1000/Y34</f>
        <v>0.40212145626040358</v>
      </c>
      <c r="K34" s="9">
        <v>14195</v>
      </c>
      <c r="L34">
        <f t="shared" ref="L34:L52" si="12">M34*10000/Y34</f>
        <v>0.27676834291399388</v>
      </c>
      <c r="M34">
        <v>977</v>
      </c>
      <c r="N34" s="9">
        <v>3707.28</v>
      </c>
      <c r="O34">
        <v>1</v>
      </c>
      <c r="P34">
        <v>68.94</v>
      </c>
      <c r="Q34">
        <v>2.4</v>
      </c>
      <c r="S34">
        <v>2.4</v>
      </c>
      <c r="T34">
        <f t="shared" ref="T34:T52" si="13">Q34/S34</f>
        <v>1</v>
      </c>
      <c r="U34">
        <v>23.38</v>
      </c>
      <c r="V34">
        <f t="shared" ref="V34:V52" si="14">U34/S34</f>
        <v>9.7416666666666671</v>
      </c>
      <c r="W34">
        <v>5.84</v>
      </c>
      <c r="X34">
        <f t="shared" ref="X34:X52" si="15">W34/U34</f>
        <v>0.24978614200171087</v>
      </c>
      <c r="Y34" s="7">
        <v>35300280</v>
      </c>
    </row>
    <row r="35" spans="1:25">
      <c r="A35">
        <v>1</v>
      </c>
      <c r="B35" t="s">
        <v>89</v>
      </c>
      <c r="C35" s="8">
        <v>28042</v>
      </c>
      <c r="D35">
        <f t="shared" si="8"/>
        <v>193.44491711945957</v>
      </c>
      <c r="E35" s="8">
        <v>23391010</v>
      </c>
      <c r="F35">
        <f t="shared" si="9"/>
        <v>218.05477068135491</v>
      </c>
      <c r="G35">
        <v>740</v>
      </c>
      <c r="H35">
        <f t="shared" si="10"/>
        <v>16.744138178296776</v>
      </c>
      <c r="I35">
        <v>2993608</v>
      </c>
      <c r="J35">
        <f t="shared" si="11"/>
        <v>0.97132260775160095</v>
      </c>
      <c r="K35" s="9">
        <f>92284+11911</f>
        <v>104195</v>
      </c>
      <c r="L35">
        <f t="shared" si="12"/>
        <v>4.194972632930759E-3</v>
      </c>
      <c r="M35">
        <v>45</v>
      </c>
      <c r="N35" s="9">
        <v>3071.08</v>
      </c>
      <c r="O35">
        <v>1</v>
      </c>
      <c r="P35">
        <v>561.88</v>
      </c>
      <c r="Q35">
        <v>1</v>
      </c>
      <c r="R35">
        <v>56.5</v>
      </c>
      <c r="S35">
        <v>57.5</v>
      </c>
      <c r="T35">
        <f t="shared" si="13"/>
        <v>1.7391304347826087E-2</v>
      </c>
      <c r="U35">
        <v>77.5</v>
      </c>
      <c r="V35">
        <f t="shared" si="14"/>
        <v>1.3478260869565217</v>
      </c>
      <c r="W35">
        <v>0.48</v>
      </c>
      <c r="X35">
        <f t="shared" si="15"/>
        <v>6.193548387096774E-3</v>
      </c>
      <c r="Y35" s="7">
        <v>107271260</v>
      </c>
    </row>
    <row r="36" spans="1:25">
      <c r="A36">
        <v>4</v>
      </c>
      <c r="B36" t="s">
        <v>62</v>
      </c>
      <c r="C36" s="8">
        <v>26004</v>
      </c>
      <c r="D36">
        <f t="shared" si="8"/>
        <v>1035.1592307692308</v>
      </c>
      <c r="E36" s="8">
        <v>3404050</v>
      </c>
      <c r="F36">
        <f t="shared" si="9"/>
        <v>327.3125</v>
      </c>
      <c r="G36">
        <v>414</v>
      </c>
      <c r="H36">
        <f t="shared" si="10"/>
        <v>26.296153846153846</v>
      </c>
      <c r="I36">
        <v>455800</v>
      </c>
      <c r="J36">
        <f t="shared" si="11"/>
        <v>51.566442307692306</v>
      </c>
      <c r="K36" s="9">
        <v>536291</v>
      </c>
      <c r="L36">
        <f t="shared" si="12"/>
        <v>3.7519230769230769</v>
      </c>
      <c r="M36">
        <v>3902</v>
      </c>
      <c r="N36" s="9">
        <v>3389.08</v>
      </c>
      <c r="P36">
        <v>6562.38</v>
      </c>
      <c r="Q36">
        <v>58</v>
      </c>
      <c r="R36">
        <v>10.4</v>
      </c>
      <c r="S36">
        <v>68.400000000000006</v>
      </c>
      <c r="T36">
        <f t="shared" si="13"/>
        <v>0.8479532163742689</v>
      </c>
      <c r="U36">
        <v>10.122</v>
      </c>
      <c r="V36">
        <f t="shared" si="14"/>
        <v>0.14798245614035085</v>
      </c>
      <c r="W36">
        <v>0</v>
      </c>
      <c r="X36">
        <f t="shared" si="15"/>
        <v>0</v>
      </c>
      <c r="Y36" s="7">
        <v>10400000</v>
      </c>
    </row>
    <row r="37" spans="1:25">
      <c r="A37">
        <v>4</v>
      </c>
      <c r="B37" t="s">
        <v>60</v>
      </c>
      <c r="C37" s="8">
        <v>25386</v>
      </c>
      <c r="D37">
        <f t="shared" si="8"/>
        <v>2397.2421957310225</v>
      </c>
      <c r="E37" s="8">
        <v>7001960</v>
      </c>
      <c r="F37">
        <f t="shared" si="9"/>
        <v>1166.1494298625894</v>
      </c>
      <c r="G37">
        <v>567</v>
      </c>
      <c r="H37">
        <f t="shared" si="10"/>
        <v>156.65763209357496</v>
      </c>
      <c r="I37">
        <v>1567710</v>
      </c>
      <c r="J37">
        <f t="shared" si="11"/>
        <v>0</v>
      </c>
      <c r="K37" s="9"/>
      <c r="L37">
        <f t="shared" si="12"/>
        <v>1.0459097766249823</v>
      </c>
      <c r="M37">
        <v>628</v>
      </c>
      <c r="N37" s="9">
        <v>3579.65</v>
      </c>
      <c r="P37">
        <v>1035.8800000000001</v>
      </c>
      <c r="Q37">
        <v>6</v>
      </c>
      <c r="S37">
        <v>6</v>
      </c>
      <c r="T37">
        <f t="shared" si="13"/>
        <v>1</v>
      </c>
      <c r="U37">
        <v>0.97639999999999993</v>
      </c>
      <c r="V37">
        <f t="shared" si="14"/>
        <v>0.16273333333333331</v>
      </c>
      <c r="W37">
        <v>0</v>
      </c>
      <c r="X37">
        <f t="shared" si="15"/>
        <v>0</v>
      </c>
      <c r="Y37" s="7">
        <v>6004342</v>
      </c>
    </row>
    <row r="38" spans="1:25">
      <c r="A38">
        <v>4</v>
      </c>
      <c r="B38" t="s">
        <v>67</v>
      </c>
      <c r="C38" s="8">
        <v>24019</v>
      </c>
      <c r="D38">
        <f t="shared" si="8"/>
        <v>1010.9300560214679</v>
      </c>
      <c r="E38" s="8">
        <v>4328000</v>
      </c>
      <c r="F38">
        <f t="shared" si="9"/>
        <v>408.43088930352718</v>
      </c>
      <c r="G38">
        <v>446</v>
      </c>
      <c r="H38">
        <f t="shared" si="10"/>
        <v>31.782642291168948</v>
      </c>
      <c r="I38">
        <v>561316</v>
      </c>
      <c r="J38">
        <f t="shared" si="11"/>
        <v>0</v>
      </c>
      <c r="K38" s="9"/>
      <c r="L38">
        <f t="shared" si="12"/>
        <v>26.404566272441521</v>
      </c>
      <c r="M38">
        <v>27980</v>
      </c>
      <c r="N38" s="9">
        <v>3347.44</v>
      </c>
      <c r="P38">
        <v>17228.98</v>
      </c>
      <c r="Q38">
        <v>171</v>
      </c>
      <c r="R38">
        <v>3</v>
      </c>
      <c r="S38">
        <v>174</v>
      </c>
      <c r="T38">
        <f t="shared" si="13"/>
        <v>0.98275862068965514</v>
      </c>
      <c r="U38">
        <v>2.4830000000000001</v>
      </c>
      <c r="V38">
        <f t="shared" si="14"/>
        <v>1.4270114942528736E-2</v>
      </c>
      <c r="W38">
        <v>0</v>
      </c>
      <c r="X38">
        <f t="shared" si="15"/>
        <v>0</v>
      </c>
      <c r="Y38" s="7">
        <v>10596652</v>
      </c>
    </row>
    <row r="39" spans="1:25">
      <c r="A39">
        <v>2</v>
      </c>
      <c r="B39" t="s">
        <v>84</v>
      </c>
      <c r="C39" s="8">
        <v>15946</v>
      </c>
      <c r="D39">
        <f t="shared" si="8"/>
        <v>130.13533391087341</v>
      </c>
      <c r="E39" s="8">
        <v>4987440</v>
      </c>
      <c r="F39">
        <f t="shared" si="9"/>
        <v>94.001169906929903</v>
      </c>
      <c r="G39">
        <v>433</v>
      </c>
      <c r="H39">
        <f t="shared" si="10"/>
        <v>35.010573114923567</v>
      </c>
      <c r="I39">
        <v>3095939</v>
      </c>
      <c r="J39">
        <f t="shared" si="11"/>
        <v>0.32653430790897947</v>
      </c>
      <c r="K39" s="9">
        <f>12892+4433</f>
        <v>17325</v>
      </c>
      <c r="L39">
        <f t="shared" si="12"/>
        <v>11.146835231372505</v>
      </c>
      <c r="M39">
        <v>59142</v>
      </c>
      <c r="N39" s="9">
        <v>3120.6</v>
      </c>
      <c r="P39">
        <v>46381.01</v>
      </c>
      <c r="Q39">
        <v>2145</v>
      </c>
      <c r="R39">
        <v>215</v>
      </c>
      <c r="S39">
        <v>2360</v>
      </c>
      <c r="T39">
        <f t="shared" si="13"/>
        <v>0.90889830508474578</v>
      </c>
      <c r="U39">
        <v>29.1157</v>
      </c>
      <c r="V39">
        <f t="shared" si="14"/>
        <v>1.2337161016949153E-2</v>
      </c>
      <c r="W39">
        <v>0</v>
      </c>
      <c r="X39">
        <f t="shared" si="15"/>
        <v>0</v>
      </c>
      <c r="Y39" s="7">
        <v>53057212</v>
      </c>
    </row>
    <row r="40" spans="1:25">
      <c r="A40">
        <v>1</v>
      </c>
      <c r="B40" t="s">
        <v>76</v>
      </c>
      <c r="C40" s="8">
        <v>15808</v>
      </c>
      <c r="D40">
        <f t="shared" si="8"/>
        <v>217.66399999999999</v>
      </c>
      <c r="E40" s="8">
        <v>4376157</v>
      </c>
      <c r="F40">
        <f t="shared" si="9"/>
        <v>168.31373076923077</v>
      </c>
      <c r="G40">
        <v>358</v>
      </c>
      <c r="H40">
        <f t="shared" si="10"/>
        <v>7.4706230769230766</v>
      </c>
      <c r="I40">
        <v>323727</v>
      </c>
      <c r="J40">
        <f t="shared" si="11"/>
        <v>0.46153846153846156</v>
      </c>
      <c r="K40" s="9">
        <v>12000</v>
      </c>
      <c r="L40">
        <f t="shared" si="12"/>
        <v>2.418076923076923</v>
      </c>
      <c r="M40">
        <v>6287</v>
      </c>
      <c r="N40" s="9">
        <v>2020</v>
      </c>
      <c r="P40">
        <v>2992.77</v>
      </c>
      <c r="Q40">
        <v>67</v>
      </c>
      <c r="R40">
        <v>10.15</v>
      </c>
      <c r="S40">
        <v>77.150000000000006</v>
      </c>
      <c r="T40">
        <f t="shared" si="13"/>
        <v>0.86843810758263118</v>
      </c>
      <c r="U40">
        <v>8.6577999999999999</v>
      </c>
      <c r="V40">
        <f t="shared" si="14"/>
        <v>0.11222034996759558</v>
      </c>
      <c r="W40">
        <v>0</v>
      </c>
      <c r="X40">
        <f t="shared" si="15"/>
        <v>0</v>
      </c>
      <c r="Y40" s="7">
        <v>26000000</v>
      </c>
    </row>
    <row r="41" spans="1:25">
      <c r="A41">
        <v>1</v>
      </c>
      <c r="B41" t="s">
        <v>87</v>
      </c>
      <c r="C41" s="8">
        <v>15254</v>
      </c>
      <c r="D41">
        <f t="shared" si="8"/>
        <v>197.38408736578768</v>
      </c>
      <c r="E41" s="8">
        <v>5134022</v>
      </c>
      <c r="F41">
        <f t="shared" si="9"/>
        <v>100.35248512755764</v>
      </c>
      <c r="G41">
        <v>662</v>
      </c>
      <c r="H41">
        <f t="shared" si="10"/>
        <v>32.466251050701068</v>
      </c>
      <c r="I41">
        <v>2768283</v>
      </c>
      <c r="J41">
        <f t="shared" si="11"/>
        <v>0</v>
      </c>
      <c r="K41" s="9"/>
      <c r="L41">
        <f t="shared" si="12"/>
        <v>1.1786577566655785</v>
      </c>
      <c r="M41">
        <v>6030</v>
      </c>
      <c r="N41" s="9">
        <v>3444.17</v>
      </c>
      <c r="P41">
        <v>1359.49</v>
      </c>
      <c r="Q41">
        <v>64.849999999999994</v>
      </c>
      <c r="R41">
        <v>4.8499999999999996</v>
      </c>
      <c r="S41">
        <v>69.7</v>
      </c>
      <c r="T41">
        <f t="shared" si="13"/>
        <v>0.93041606886657091</v>
      </c>
      <c r="U41">
        <v>29.196999999999999</v>
      </c>
      <c r="V41">
        <f t="shared" si="14"/>
        <v>0.41889526542324246</v>
      </c>
      <c r="W41">
        <v>0</v>
      </c>
      <c r="X41">
        <f t="shared" si="15"/>
        <v>0</v>
      </c>
      <c r="Y41" s="7">
        <v>51159889</v>
      </c>
    </row>
    <row r="42" spans="1:25">
      <c r="A42">
        <v>4</v>
      </c>
      <c r="B42" t="s">
        <v>64</v>
      </c>
      <c r="C42" s="8">
        <v>13844</v>
      </c>
      <c r="D42">
        <f t="shared" si="8"/>
        <v>1060.764394385742</v>
      </c>
      <c r="E42" s="8">
        <v>5235050</v>
      </c>
      <c r="F42">
        <f t="shared" si="9"/>
        <v>568.96959666364194</v>
      </c>
      <c r="G42">
        <v>705</v>
      </c>
      <c r="H42">
        <f t="shared" si="10"/>
        <v>53.223222736916512</v>
      </c>
      <c r="I42">
        <v>816172</v>
      </c>
      <c r="J42">
        <f t="shared" si="11"/>
        <v>0</v>
      </c>
      <c r="K42" s="9"/>
      <c r="L42">
        <f t="shared" si="12"/>
        <v>4.2376146500826923</v>
      </c>
      <c r="M42">
        <v>3899</v>
      </c>
      <c r="N42" s="9">
        <v>3759.61</v>
      </c>
      <c r="P42">
        <v>8627.2000000000007</v>
      </c>
      <c r="Q42">
        <v>55</v>
      </c>
      <c r="R42">
        <v>22.7</v>
      </c>
      <c r="S42">
        <v>77.7</v>
      </c>
      <c r="T42">
        <f t="shared" si="13"/>
        <v>0.70785070785070781</v>
      </c>
      <c r="U42">
        <v>3.49</v>
      </c>
      <c r="V42">
        <f t="shared" si="14"/>
        <v>4.491634491634492E-2</v>
      </c>
      <c r="W42">
        <v>0</v>
      </c>
      <c r="X42">
        <f t="shared" si="15"/>
        <v>0</v>
      </c>
      <c r="Y42" s="7">
        <v>9200931</v>
      </c>
    </row>
    <row r="43" spans="1:25">
      <c r="A43">
        <v>2</v>
      </c>
      <c r="B43" t="s">
        <v>69</v>
      </c>
      <c r="C43" s="8">
        <v>12854</v>
      </c>
      <c r="D43">
        <f t="shared" si="8"/>
        <v>405.84307787522442</v>
      </c>
      <c r="E43" s="8">
        <v>2497165</v>
      </c>
      <c r="F43">
        <f t="shared" si="9"/>
        <v>123.57949266274831</v>
      </c>
      <c r="G43">
        <v>638</v>
      </c>
      <c r="H43">
        <f t="shared" si="10"/>
        <v>46.077595172315192</v>
      </c>
      <c r="I43">
        <v>1551813</v>
      </c>
      <c r="J43">
        <f t="shared" si="11"/>
        <v>0.31256567974399702</v>
      </c>
      <c r="K43" s="9">
        <v>6316</v>
      </c>
      <c r="L43">
        <f t="shared" si="12"/>
        <v>9.0122444487300974</v>
      </c>
      <c r="M43">
        <v>18211</v>
      </c>
      <c r="N43" s="9">
        <v>3113.65</v>
      </c>
      <c r="P43">
        <v>48286.79</v>
      </c>
      <c r="Q43">
        <v>885</v>
      </c>
      <c r="R43">
        <v>38.06</v>
      </c>
      <c r="S43">
        <v>923.06</v>
      </c>
      <c r="T43">
        <f t="shared" si="13"/>
        <v>0.95876757740558582</v>
      </c>
      <c r="U43">
        <v>35.368000000000002</v>
      </c>
      <c r="V43">
        <f t="shared" si="14"/>
        <v>3.831603579398956E-2</v>
      </c>
      <c r="W43">
        <v>0</v>
      </c>
      <c r="X43">
        <f t="shared" si="15"/>
        <v>0</v>
      </c>
      <c r="Y43" s="7">
        <v>20206953</v>
      </c>
    </row>
    <row r="44" spans="1:25">
      <c r="A44">
        <v>3</v>
      </c>
      <c r="B44" t="s">
        <v>70</v>
      </c>
      <c r="C44" s="8">
        <v>12367</v>
      </c>
      <c r="D44">
        <f t="shared" si="8"/>
        <v>551.28772874290905</v>
      </c>
      <c r="E44" s="8">
        <v>1499400</v>
      </c>
      <c r="F44">
        <f t="shared" si="9"/>
        <v>82.92709069432938</v>
      </c>
      <c r="G44">
        <v>806</v>
      </c>
      <c r="H44">
        <f t="shared" si="10"/>
        <v>91.919984483110198</v>
      </c>
      <c r="I44">
        <v>2770000</v>
      </c>
      <c r="J44">
        <f t="shared" si="11"/>
        <v>0</v>
      </c>
      <c r="K44" s="9"/>
      <c r="L44">
        <f t="shared" si="12"/>
        <v>0.20463534451715268</v>
      </c>
      <c r="M44">
        <v>370</v>
      </c>
      <c r="N44" s="9">
        <v>3468.4</v>
      </c>
      <c r="P44">
        <v>5310.81</v>
      </c>
      <c r="Q44">
        <v>11</v>
      </c>
      <c r="R44">
        <v>80</v>
      </c>
      <c r="S44">
        <v>91</v>
      </c>
      <c r="T44">
        <f t="shared" si="13"/>
        <v>0.12087912087912088</v>
      </c>
      <c r="U44">
        <v>8.3059999999999992</v>
      </c>
      <c r="V44">
        <f t="shared" si="14"/>
        <v>9.1274725274725271E-2</v>
      </c>
      <c r="W44">
        <v>0</v>
      </c>
      <c r="X44">
        <f t="shared" si="15"/>
        <v>0</v>
      </c>
      <c r="Y44" s="7">
        <v>18080943</v>
      </c>
    </row>
    <row r="45" spans="1:25">
      <c r="A45">
        <v>1</v>
      </c>
      <c r="B45" t="s">
        <v>78</v>
      </c>
      <c r="C45" s="8">
        <v>9567</v>
      </c>
      <c r="D45">
        <f t="shared" si="8"/>
        <v>98.376183479055967</v>
      </c>
      <c r="E45" s="8">
        <v>2167307</v>
      </c>
      <c r="F45">
        <f t="shared" si="9"/>
        <v>63.312864976030987</v>
      </c>
      <c r="G45">
        <v>352</v>
      </c>
      <c r="H45">
        <f t="shared" si="10"/>
        <v>31.945512492806376</v>
      </c>
      <c r="I45">
        <v>1822582</v>
      </c>
      <c r="J45">
        <f t="shared" si="11"/>
        <v>0</v>
      </c>
      <c r="K45" s="9"/>
      <c r="L45">
        <f t="shared" si="12"/>
        <v>5.5837133417271128</v>
      </c>
      <c r="M45">
        <v>19114</v>
      </c>
      <c r="N45" s="9">
        <v>2937.75</v>
      </c>
      <c r="P45">
        <v>17920.04</v>
      </c>
      <c r="Q45">
        <v>580</v>
      </c>
      <c r="S45">
        <v>580</v>
      </c>
      <c r="T45">
        <f t="shared" si="13"/>
        <v>1</v>
      </c>
      <c r="U45">
        <v>6.7069999999999999</v>
      </c>
      <c r="V45">
        <f t="shared" si="14"/>
        <v>1.1563793103448275E-2</v>
      </c>
      <c r="W45">
        <v>0</v>
      </c>
      <c r="X45">
        <f t="shared" si="15"/>
        <v>0</v>
      </c>
      <c r="Y45" s="7">
        <v>34231700</v>
      </c>
    </row>
    <row r="46" spans="1:25">
      <c r="A46">
        <v>3</v>
      </c>
      <c r="B46" t="s">
        <v>66</v>
      </c>
      <c r="C46" s="8">
        <v>8296</v>
      </c>
      <c r="D46">
        <f t="shared" si="8"/>
        <v>595.60049252673298</v>
      </c>
      <c r="E46" s="8">
        <v>2754890</v>
      </c>
      <c r="F46">
        <f t="shared" si="9"/>
        <v>232.96081510282269</v>
      </c>
      <c r="G46">
        <v>849</v>
      </c>
      <c r="H46">
        <f t="shared" si="10"/>
        <v>81.233119708333248</v>
      </c>
      <c r="I46">
        <v>1601044</v>
      </c>
      <c r="J46">
        <f t="shared" si="11"/>
        <v>0</v>
      </c>
      <c r="K46" s="9"/>
      <c r="L46">
        <f t="shared" si="12"/>
        <v>0.58263669912716964</v>
      </c>
      <c r="M46">
        <v>689</v>
      </c>
      <c r="N46" s="9">
        <v>3913.88</v>
      </c>
      <c r="P46">
        <v>1579</v>
      </c>
      <c r="Q46">
        <v>12</v>
      </c>
      <c r="R46">
        <v>6.3</v>
      </c>
      <c r="S46">
        <v>18.3</v>
      </c>
      <c r="T46">
        <f t="shared" si="13"/>
        <v>0.65573770491803274</v>
      </c>
      <c r="U46">
        <v>4.1989999999999998</v>
      </c>
      <c r="V46">
        <f t="shared" si="14"/>
        <v>0.22945355191256828</v>
      </c>
      <c r="W46">
        <v>0</v>
      </c>
      <c r="X46">
        <f t="shared" si="15"/>
        <v>0</v>
      </c>
      <c r="Y46" s="7">
        <v>11825551</v>
      </c>
    </row>
    <row r="47" spans="1:25">
      <c r="A47">
        <v>2</v>
      </c>
      <c r="B47" t="s">
        <v>59</v>
      </c>
      <c r="C47" s="8">
        <v>7124</v>
      </c>
      <c r="D47">
        <f t="shared" si="8"/>
        <v>351.94715695394854</v>
      </c>
      <c r="E47" s="8">
        <v>785000</v>
      </c>
      <c r="F47">
        <f t="shared" si="9"/>
        <v>140.0049652716346</v>
      </c>
      <c r="G47">
        <v>277</v>
      </c>
      <c r="H47">
        <f t="shared" si="10"/>
        <v>39.557056392929908</v>
      </c>
      <c r="I47">
        <v>369657</v>
      </c>
      <c r="J47">
        <f t="shared" si="11"/>
        <v>0.60888783622593701</v>
      </c>
      <c r="K47" s="9">
        <v>3414</v>
      </c>
      <c r="L47">
        <f t="shared" si="12"/>
        <v>21.723063401382287</v>
      </c>
      <c r="M47">
        <v>12180</v>
      </c>
      <c r="N47" s="9">
        <v>3490.14</v>
      </c>
      <c r="P47">
        <v>72492.63</v>
      </c>
      <c r="Q47">
        <v>382</v>
      </c>
      <c r="R47">
        <v>11</v>
      </c>
      <c r="S47">
        <v>393</v>
      </c>
      <c r="T47">
        <f t="shared" si="13"/>
        <v>0.97201017811704837</v>
      </c>
      <c r="U47">
        <v>2.6911</v>
      </c>
      <c r="V47">
        <f t="shared" si="14"/>
        <v>6.8475826972010179E-3</v>
      </c>
      <c r="W47">
        <v>0</v>
      </c>
      <c r="X47">
        <f t="shared" si="15"/>
        <v>0</v>
      </c>
      <c r="Y47" s="7">
        <v>5606944</v>
      </c>
    </row>
    <row r="48" spans="1:25">
      <c r="A48">
        <v>1</v>
      </c>
      <c r="B48" t="s">
        <v>125</v>
      </c>
      <c r="C48" s="8">
        <v>5970</v>
      </c>
      <c r="D48">
        <f t="shared" si="8"/>
        <v>165.76273068878069</v>
      </c>
      <c r="E48" s="8">
        <v>1713811</v>
      </c>
      <c r="F48">
        <f t="shared" si="9"/>
        <v>73.434557366169827</v>
      </c>
      <c r="G48">
        <v>648</v>
      </c>
      <c r="H48">
        <f t="shared" si="10"/>
        <v>39.968701602403911</v>
      </c>
      <c r="I48">
        <v>1554645</v>
      </c>
      <c r="J48">
        <f t="shared" si="11"/>
        <v>0</v>
      </c>
      <c r="K48" s="9"/>
      <c r="L48">
        <f t="shared" si="12"/>
        <v>8.9982250358386455</v>
      </c>
      <c r="M48">
        <v>21000</v>
      </c>
      <c r="N48" s="9">
        <v>3016.37</v>
      </c>
      <c r="P48">
        <v>382.97872340425533</v>
      </c>
      <c r="Q48">
        <v>90</v>
      </c>
      <c r="S48">
        <v>90</v>
      </c>
      <c r="T48">
        <f t="shared" si="13"/>
        <v>1</v>
      </c>
      <c r="U48">
        <v>16.670000000000002</v>
      </c>
      <c r="V48">
        <f t="shared" si="14"/>
        <v>0.18522222222222223</v>
      </c>
      <c r="W48">
        <v>0</v>
      </c>
      <c r="X48">
        <f t="shared" si="15"/>
        <v>0</v>
      </c>
      <c r="Y48" s="7">
        <v>23337936</v>
      </c>
    </row>
    <row r="49" spans="1:25">
      <c r="A49">
        <v>2</v>
      </c>
      <c r="B49" t="s">
        <v>65</v>
      </c>
      <c r="C49" s="8">
        <v>4213</v>
      </c>
      <c r="D49">
        <f t="shared" si="8"/>
        <v>264.85338078981397</v>
      </c>
      <c r="E49" s="8">
        <v>809466</v>
      </c>
      <c r="F49">
        <f t="shared" si="9"/>
        <v>89.120284738883669</v>
      </c>
      <c r="G49">
        <v>571</v>
      </c>
      <c r="H49">
        <f t="shared" si="10"/>
        <v>31.880198809888704</v>
      </c>
      <c r="I49">
        <v>482605</v>
      </c>
      <c r="J49">
        <f t="shared" si="11"/>
        <v>6.9251406607266794E-2</v>
      </c>
      <c r="K49" s="9">
        <v>629</v>
      </c>
      <c r="L49">
        <f t="shared" si="12"/>
        <v>1.397138870979675</v>
      </c>
      <c r="M49">
        <v>1269</v>
      </c>
      <c r="N49" s="9">
        <v>3432.28</v>
      </c>
      <c r="P49">
        <v>6181.67</v>
      </c>
      <c r="Q49">
        <v>40.4</v>
      </c>
      <c r="R49">
        <v>13.1</v>
      </c>
      <c r="S49">
        <v>53.5</v>
      </c>
      <c r="T49">
        <f t="shared" si="13"/>
        <v>0.7551401869158878</v>
      </c>
      <c r="U49">
        <v>1.704</v>
      </c>
      <c r="V49">
        <f t="shared" si="14"/>
        <v>3.1850467289719624E-2</v>
      </c>
      <c r="W49">
        <v>0</v>
      </c>
      <c r="X49">
        <f t="shared" si="15"/>
        <v>0</v>
      </c>
      <c r="Y49" s="7">
        <v>9082848</v>
      </c>
    </row>
    <row r="50" spans="1:25">
      <c r="A50">
        <v>1</v>
      </c>
      <c r="B50" t="s">
        <v>63</v>
      </c>
      <c r="C50" s="8">
        <v>2850</v>
      </c>
      <c r="D50">
        <f t="shared" si="8"/>
        <v>71.817499061209162</v>
      </c>
      <c r="E50" s="8">
        <v>232343</v>
      </c>
      <c r="F50">
        <f t="shared" si="9"/>
        <v>22.960155740458919</v>
      </c>
      <c r="G50">
        <v>255</v>
      </c>
      <c r="H50">
        <f t="shared" si="10"/>
        <v>53.147202403304547</v>
      </c>
      <c r="I50">
        <v>896363</v>
      </c>
      <c r="J50">
        <f t="shared" si="11"/>
        <v>1.8499120501215487</v>
      </c>
      <c r="K50" s="9">
        <f>17515+1205</f>
        <v>18720</v>
      </c>
      <c r="L50">
        <f t="shared" si="12"/>
        <v>0.13834812340652608</v>
      </c>
      <c r="M50">
        <v>140</v>
      </c>
      <c r="N50" s="9">
        <v>3894.74</v>
      </c>
      <c r="P50">
        <v>205.65</v>
      </c>
      <c r="Q50">
        <v>0.75</v>
      </c>
      <c r="R50">
        <v>1.03</v>
      </c>
      <c r="S50">
        <v>1.78</v>
      </c>
      <c r="T50">
        <f t="shared" si="13"/>
        <v>0.42134831460674155</v>
      </c>
      <c r="U50">
        <v>1.276</v>
      </c>
      <c r="V50">
        <f t="shared" si="14"/>
        <v>0.71685393258426966</v>
      </c>
      <c r="W50">
        <v>0.69</v>
      </c>
      <c r="X50">
        <f t="shared" si="15"/>
        <v>0.54075235109717867</v>
      </c>
      <c r="Y50" s="7">
        <v>10119400</v>
      </c>
    </row>
    <row r="51" spans="1:25">
      <c r="A51">
        <v>1</v>
      </c>
      <c r="B51" t="s">
        <v>126</v>
      </c>
      <c r="C51" s="8">
        <v>418</v>
      </c>
      <c r="D51">
        <f t="shared" si="8"/>
        <v>91.244359256064214</v>
      </c>
      <c r="E51" s="8">
        <v>22014</v>
      </c>
      <c r="F51">
        <f t="shared" si="9"/>
        <v>2.0615146841951288</v>
      </c>
      <c r="G51">
        <v>2331</v>
      </c>
      <c r="H51">
        <f t="shared" si="10"/>
        <v>10.564237336958293</v>
      </c>
      <c r="I51">
        <v>188018</v>
      </c>
      <c r="J51">
        <f t="shared" si="11"/>
        <v>0</v>
      </c>
      <c r="K51" s="9"/>
      <c r="L51">
        <f t="shared" si="12"/>
        <v>0.29685661619417458</v>
      </c>
      <c r="M51">
        <v>317</v>
      </c>
      <c r="N51" s="9">
        <v>3061.7</v>
      </c>
      <c r="P51">
        <v>1678.21</v>
      </c>
      <c r="Q51">
        <v>0.15</v>
      </c>
      <c r="S51">
        <v>0.15</v>
      </c>
      <c r="T51">
        <f t="shared" si="13"/>
        <v>1</v>
      </c>
      <c r="U51">
        <v>2.3809999999999998</v>
      </c>
      <c r="V51">
        <f t="shared" si="14"/>
        <v>15.873333333333333</v>
      </c>
      <c r="W51">
        <v>2.58</v>
      </c>
      <c r="X51">
        <f t="shared" si="15"/>
        <v>1.0835783284334315</v>
      </c>
      <c r="Y51" s="7">
        <v>10678556</v>
      </c>
    </row>
    <row r="52" spans="1:25">
      <c r="A52">
        <v>1</v>
      </c>
      <c r="B52" t="s">
        <v>61</v>
      </c>
      <c r="C52" s="8">
        <v>10</v>
      </c>
      <c r="D52">
        <f t="shared" si="8"/>
        <v>1.0767115572562076</v>
      </c>
      <c r="E52" s="8">
        <v>0</v>
      </c>
      <c r="F52">
        <f t="shared" si="9"/>
        <v>0</v>
      </c>
      <c r="G52">
        <v>650</v>
      </c>
      <c r="H52">
        <f t="shared" si="10"/>
        <v>6.1123092978184168</v>
      </c>
      <c r="I52">
        <v>61499</v>
      </c>
      <c r="J52">
        <f t="shared" si="11"/>
        <v>0</v>
      </c>
      <c r="K52" s="9"/>
      <c r="L52">
        <f t="shared" si="12"/>
        <v>2.6503669101691267E-2</v>
      </c>
      <c r="M52">
        <v>16</v>
      </c>
      <c r="N52" s="9">
        <v>3500</v>
      </c>
      <c r="P52">
        <v>102.56</v>
      </c>
      <c r="Q52">
        <v>0.6</v>
      </c>
      <c r="S52">
        <v>0.6</v>
      </c>
      <c r="T52">
        <f t="shared" si="13"/>
        <v>1</v>
      </c>
      <c r="U52">
        <v>0.49869999999999998</v>
      </c>
      <c r="V52">
        <f t="shared" si="14"/>
        <v>0.83116666666666661</v>
      </c>
      <c r="W52">
        <v>0.31750620000000002</v>
      </c>
      <c r="X52">
        <f t="shared" si="15"/>
        <v>0.63666773611389615</v>
      </c>
      <c r="Y52" s="7">
        <v>6036900</v>
      </c>
    </row>
  </sheetData>
  <sortState xmlns:xlrd2="http://schemas.microsoft.com/office/spreadsheetml/2017/richdata2" ref="A2:Y52">
    <sortCondition descending="1" ref="C2:C52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32C12-E0A5-4405-978F-6B944A3D0FEE}">
  <dimension ref="A1:W52"/>
  <sheetViews>
    <sheetView workbookViewId="0">
      <pane ySplit="1" topLeftCell="A2" activePane="bottomLeft" state="frozen"/>
      <selection pane="bottomLeft" activeCell="G19" sqref="G19"/>
    </sheetView>
  </sheetViews>
  <sheetFormatPr defaultRowHeight="13.9"/>
  <cols>
    <col min="1" max="1" width="5.3984375" customWidth="1"/>
    <col min="2" max="2" width="10.06640625" customWidth="1"/>
    <col min="3" max="3" width="4.59765625" style="8" customWidth="1"/>
    <col min="4" max="4" width="9.59765625" customWidth="1"/>
    <col min="5" max="5" width="6.33203125" customWidth="1"/>
    <col min="8" max="8" width="5.73046875" customWidth="1"/>
    <col min="11" max="11" width="5.33203125" customWidth="1"/>
    <col min="12" max="12" width="7.796875" customWidth="1"/>
    <col min="14" max="14" width="5.3984375" customWidth="1"/>
    <col min="15" max="15" width="8.73046875" customWidth="1"/>
    <col min="17" max="17" width="5.265625" customWidth="1"/>
    <col min="19" max="19" width="5.796875" customWidth="1"/>
    <col min="21" max="21" width="9.59765625" customWidth="1"/>
    <col min="22" max="22" width="9.3984375" customWidth="1"/>
  </cols>
  <sheetData>
    <row r="1" spans="1:23" s="15" customFormat="1">
      <c r="A1" s="15" t="s">
        <v>249</v>
      </c>
      <c r="B1" s="17" t="s">
        <v>196</v>
      </c>
      <c r="C1" s="18" t="s">
        <v>258</v>
      </c>
      <c r="D1" s="17" t="s">
        <v>259</v>
      </c>
      <c r="E1" s="17" t="s">
        <v>260</v>
      </c>
      <c r="F1" s="17" t="s">
        <v>261</v>
      </c>
      <c r="G1" s="17" t="s">
        <v>262</v>
      </c>
      <c r="H1" s="17" t="s">
        <v>263</v>
      </c>
      <c r="I1" s="17" t="s">
        <v>264</v>
      </c>
      <c r="J1" s="17" t="s">
        <v>265</v>
      </c>
      <c r="K1" s="17" t="s">
        <v>266</v>
      </c>
      <c r="L1" s="17" t="s">
        <v>267</v>
      </c>
      <c r="M1" s="17" t="s">
        <v>268</v>
      </c>
      <c r="N1" s="17" t="s">
        <v>269</v>
      </c>
      <c r="O1" s="17" t="s">
        <v>270</v>
      </c>
      <c r="P1" s="17" t="s">
        <v>271</v>
      </c>
      <c r="Q1" s="17" t="s">
        <v>272</v>
      </c>
      <c r="R1" s="17" t="s">
        <v>273</v>
      </c>
      <c r="S1" s="17" t="s">
        <v>274</v>
      </c>
      <c r="T1" s="17" t="s">
        <v>275</v>
      </c>
      <c r="U1" s="17" t="s">
        <v>257</v>
      </c>
      <c r="V1" s="17" t="s">
        <v>276</v>
      </c>
    </row>
    <row r="2" spans="1:23">
      <c r="A2">
        <v>5</v>
      </c>
      <c r="B2" t="s">
        <v>61</v>
      </c>
      <c r="C2" s="8">
        <v>4.3</v>
      </c>
      <c r="D2">
        <v>100</v>
      </c>
      <c r="E2">
        <v>1</v>
      </c>
      <c r="F2">
        <f t="shared" ref="F2:F17" si="0">W2/10000</f>
        <v>0.35</v>
      </c>
      <c r="G2">
        <f t="shared" ref="G2:G33" si="1">W2*10/V2</f>
        <v>47.297297297297298</v>
      </c>
      <c r="H2">
        <v>1</v>
      </c>
      <c r="I2" s="1">
        <v>270</v>
      </c>
      <c r="J2">
        <f t="shared" ref="J2:J33" si="2">I2*100/V2</f>
        <v>36.486486486486484</v>
      </c>
      <c r="K2">
        <v>1</v>
      </c>
      <c r="L2">
        <v>9</v>
      </c>
      <c r="M2">
        <f t="shared" ref="M2:M33" si="3">L2*10000/V2</f>
        <v>121.62162162162163</v>
      </c>
      <c r="N2">
        <v>1</v>
      </c>
      <c r="O2" s="1">
        <v>996732</v>
      </c>
      <c r="P2">
        <f t="shared" ref="P2:P33" si="4">O2/U2</f>
        <v>0.16510659444416836</v>
      </c>
      <c r="Q2">
        <v>39</v>
      </c>
      <c r="R2" s="1">
        <v>0</v>
      </c>
      <c r="S2">
        <v>44</v>
      </c>
      <c r="T2">
        <f t="shared" ref="T2:T33" si="5">R2*100/V2</f>
        <v>0</v>
      </c>
      <c r="U2" s="3">
        <v>6036900</v>
      </c>
      <c r="V2" s="1">
        <v>740</v>
      </c>
      <c r="W2" s="1">
        <v>3500</v>
      </c>
    </row>
    <row r="3" spans="1:23">
      <c r="A3">
        <v>5</v>
      </c>
      <c r="B3" t="s">
        <v>70</v>
      </c>
      <c r="C3" s="8">
        <v>4.0999999999999996</v>
      </c>
      <c r="D3">
        <v>93.2</v>
      </c>
      <c r="E3">
        <v>12</v>
      </c>
      <c r="F3">
        <f t="shared" si="0"/>
        <v>14.182</v>
      </c>
      <c r="G3">
        <f t="shared" si="1"/>
        <v>33.875552370715397</v>
      </c>
      <c r="H3">
        <v>3</v>
      </c>
      <c r="I3" s="1">
        <v>3055</v>
      </c>
      <c r="J3">
        <f t="shared" si="2"/>
        <v>7.297265018511883</v>
      </c>
      <c r="K3">
        <v>8</v>
      </c>
      <c r="L3">
        <v>23</v>
      </c>
      <c r="M3">
        <f t="shared" si="3"/>
        <v>5.4938492774393888</v>
      </c>
      <c r="N3">
        <v>12</v>
      </c>
      <c r="O3" s="1">
        <v>10062194</v>
      </c>
      <c r="P3">
        <f t="shared" si="4"/>
        <v>0.55650825291579098</v>
      </c>
      <c r="Q3">
        <v>18</v>
      </c>
      <c r="R3" s="1">
        <v>6237</v>
      </c>
      <c r="S3">
        <v>1</v>
      </c>
      <c r="T3">
        <f t="shared" si="5"/>
        <v>14.897886062343247</v>
      </c>
      <c r="U3" s="3">
        <v>18080943</v>
      </c>
      <c r="V3" s="1">
        <v>41865</v>
      </c>
      <c r="W3" s="1">
        <v>141820</v>
      </c>
    </row>
    <row r="4" spans="1:23">
      <c r="A4">
        <v>5</v>
      </c>
      <c r="B4" t="s">
        <v>66</v>
      </c>
      <c r="C4" s="8">
        <v>4</v>
      </c>
      <c r="D4">
        <v>87.2</v>
      </c>
      <c r="E4">
        <v>22</v>
      </c>
      <c r="F4">
        <f t="shared" si="0"/>
        <v>11.8414</v>
      </c>
      <c r="G4">
        <f t="shared" si="1"/>
        <v>38.788653039832283</v>
      </c>
      <c r="H4">
        <v>2</v>
      </c>
      <c r="I4" s="1">
        <v>3607</v>
      </c>
      <c r="J4">
        <f t="shared" si="2"/>
        <v>11.815382599580714</v>
      </c>
      <c r="K4">
        <v>3</v>
      </c>
      <c r="L4">
        <v>26</v>
      </c>
      <c r="M4">
        <f t="shared" si="3"/>
        <v>8.5167714884696011</v>
      </c>
      <c r="N4">
        <v>7</v>
      </c>
      <c r="O4" s="1">
        <v>6977664</v>
      </c>
      <c r="P4">
        <f t="shared" si="4"/>
        <v>0.59004979979368399</v>
      </c>
      <c r="Q4">
        <v>15</v>
      </c>
      <c r="R4" s="1">
        <v>2043</v>
      </c>
      <c r="S4">
        <v>3</v>
      </c>
      <c r="T4">
        <f t="shared" si="5"/>
        <v>6.6922169811320753</v>
      </c>
      <c r="U4" s="3">
        <v>11825551</v>
      </c>
      <c r="V4" s="1">
        <v>30528</v>
      </c>
      <c r="W4" s="1">
        <v>118414</v>
      </c>
    </row>
    <row r="5" spans="1:23">
      <c r="A5">
        <v>5</v>
      </c>
      <c r="B5" t="s">
        <v>97</v>
      </c>
      <c r="C5" s="8">
        <v>3.9</v>
      </c>
      <c r="D5">
        <v>94.6</v>
      </c>
      <c r="E5">
        <v>10</v>
      </c>
      <c r="F5">
        <f t="shared" si="0"/>
        <v>99.283500000000004</v>
      </c>
      <c r="G5">
        <f t="shared" si="1"/>
        <v>26.271383776775203</v>
      </c>
      <c r="H5">
        <v>4</v>
      </c>
      <c r="I5" s="1">
        <v>27311</v>
      </c>
      <c r="J5">
        <f t="shared" si="2"/>
        <v>7.2267573396134051</v>
      </c>
      <c r="K5">
        <v>9</v>
      </c>
      <c r="L5">
        <v>142</v>
      </c>
      <c r="M5">
        <f t="shared" si="3"/>
        <v>3.7574586878001668</v>
      </c>
      <c r="N5">
        <v>17</v>
      </c>
      <c r="O5" s="1">
        <v>82876295</v>
      </c>
      <c r="P5">
        <f t="shared" si="4"/>
        <v>0.67215162206001622</v>
      </c>
      <c r="Q5">
        <v>8</v>
      </c>
      <c r="R5" s="1">
        <v>1770</v>
      </c>
      <c r="S5">
        <v>31</v>
      </c>
      <c r="T5">
        <f t="shared" si="5"/>
        <v>0.46835928714128838</v>
      </c>
      <c r="U5" s="3">
        <v>123300000</v>
      </c>
      <c r="V5" s="1">
        <v>377915</v>
      </c>
      <c r="W5" s="1">
        <v>992835</v>
      </c>
    </row>
    <row r="6" spans="1:23">
      <c r="A6">
        <v>5</v>
      </c>
      <c r="B6" t="s">
        <v>65</v>
      </c>
      <c r="C6" s="8">
        <v>4.0999999999999996</v>
      </c>
      <c r="D6">
        <v>89.9</v>
      </c>
      <c r="E6">
        <v>19</v>
      </c>
      <c r="F6">
        <f t="shared" si="0"/>
        <v>8.4114000000000004</v>
      </c>
      <c r="G6">
        <f t="shared" si="1"/>
        <v>20.37102516286842</v>
      </c>
      <c r="H6">
        <v>7</v>
      </c>
      <c r="I6" s="1">
        <v>5317</v>
      </c>
      <c r="J6">
        <f t="shared" si="2"/>
        <v>12.876898113390327</v>
      </c>
      <c r="K6">
        <v>2</v>
      </c>
      <c r="L6">
        <v>40</v>
      </c>
      <c r="M6">
        <f t="shared" si="3"/>
        <v>9.6873410670606184</v>
      </c>
      <c r="N6">
        <v>5</v>
      </c>
      <c r="O6" s="1">
        <v>5301789</v>
      </c>
      <c r="P6">
        <f t="shared" si="4"/>
        <v>0.58371438121611197</v>
      </c>
      <c r="Q6">
        <v>16</v>
      </c>
      <c r="R6" s="1">
        <v>1292</v>
      </c>
      <c r="S6">
        <v>6</v>
      </c>
      <c r="T6">
        <f t="shared" si="5"/>
        <v>3.1290111646605796</v>
      </c>
      <c r="U6" s="3">
        <v>9082848</v>
      </c>
      <c r="V6" s="1">
        <v>41291</v>
      </c>
      <c r="W6" s="1">
        <v>84114</v>
      </c>
    </row>
    <row r="7" spans="1:23">
      <c r="A7">
        <v>5</v>
      </c>
      <c r="B7" t="s">
        <v>60</v>
      </c>
      <c r="C7" s="8">
        <v>4.0999999999999996</v>
      </c>
      <c r="D7">
        <v>98.4</v>
      </c>
      <c r="E7">
        <v>4</v>
      </c>
      <c r="F7">
        <f t="shared" si="0"/>
        <v>7.3574000000000002</v>
      </c>
      <c r="G7">
        <f t="shared" si="1"/>
        <v>17.131347940484783</v>
      </c>
      <c r="H7">
        <v>10</v>
      </c>
      <c r="I7" s="1">
        <v>2610</v>
      </c>
      <c r="J7">
        <f t="shared" si="2"/>
        <v>6.0772580156937623</v>
      </c>
      <c r="K7">
        <v>13</v>
      </c>
      <c r="L7">
        <v>28</v>
      </c>
      <c r="M7">
        <f t="shared" si="3"/>
        <v>6.5196637716254919</v>
      </c>
      <c r="N7">
        <v>10</v>
      </c>
      <c r="O7" s="1">
        <v>3222575</v>
      </c>
      <c r="P7">
        <f t="shared" si="4"/>
        <v>0.53670743605211024</v>
      </c>
      <c r="Q7">
        <v>20</v>
      </c>
      <c r="R7" s="1">
        <v>400</v>
      </c>
      <c r="S7">
        <v>19</v>
      </c>
      <c r="T7">
        <f t="shared" si="5"/>
        <v>0.93138053880364169</v>
      </c>
      <c r="U7" s="3">
        <v>6004342</v>
      </c>
      <c r="V7" s="1">
        <v>42947</v>
      </c>
      <c r="W7" s="1">
        <v>73574</v>
      </c>
    </row>
    <row r="8" spans="1:23">
      <c r="A8">
        <v>4</v>
      </c>
      <c r="B8" t="s">
        <v>77</v>
      </c>
      <c r="C8" s="8">
        <v>3.6</v>
      </c>
      <c r="D8">
        <v>96.6</v>
      </c>
      <c r="E8">
        <v>5</v>
      </c>
      <c r="F8">
        <f t="shared" si="0"/>
        <v>29.38</v>
      </c>
      <c r="G8">
        <f t="shared" si="1"/>
        <v>9.3960375457729022</v>
      </c>
      <c r="H8">
        <v>17</v>
      </c>
      <c r="I8" s="1">
        <v>19576</v>
      </c>
      <c r="J8">
        <f t="shared" si="2"/>
        <v>6.2606137166797255</v>
      </c>
      <c r="K8">
        <v>12</v>
      </c>
      <c r="L8">
        <v>87</v>
      </c>
      <c r="M8">
        <f t="shared" si="3"/>
        <v>2.7823528471145083</v>
      </c>
      <c r="N8">
        <v>23</v>
      </c>
      <c r="O8" s="1">
        <v>25757062</v>
      </c>
      <c r="P8">
        <f t="shared" si="4"/>
        <v>0.68867308360739021</v>
      </c>
      <c r="Q8">
        <v>6</v>
      </c>
      <c r="R8" s="1">
        <v>3997</v>
      </c>
      <c r="S8">
        <v>16</v>
      </c>
      <c r="T8">
        <f t="shared" si="5"/>
        <v>1.2782832563122632</v>
      </c>
      <c r="U8" s="3">
        <v>37401000</v>
      </c>
      <c r="V8" s="1">
        <v>312685</v>
      </c>
      <c r="W8" s="1">
        <v>293800</v>
      </c>
    </row>
    <row r="9" spans="1:23">
      <c r="A9">
        <v>5</v>
      </c>
      <c r="B9" t="s">
        <v>93</v>
      </c>
      <c r="C9" s="8">
        <v>4.0999999999999996</v>
      </c>
      <c r="D9">
        <v>85.5</v>
      </c>
      <c r="E9">
        <v>24</v>
      </c>
      <c r="F9">
        <f t="shared" si="0"/>
        <v>83</v>
      </c>
      <c r="G9">
        <f t="shared" si="1"/>
        <v>23.211524102231383</v>
      </c>
      <c r="H9">
        <v>6</v>
      </c>
      <c r="I9" s="1">
        <v>33351</v>
      </c>
      <c r="J9">
        <f t="shared" si="2"/>
        <v>9.3268378353435999</v>
      </c>
      <c r="K9">
        <v>5</v>
      </c>
      <c r="L9">
        <v>318</v>
      </c>
      <c r="M9">
        <f t="shared" si="3"/>
        <v>8.8930899572404574</v>
      </c>
      <c r="N9">
        <v>6</v>
      </c>
      <c r="O9" s="1">
        <v>52714433</v>
      </c>
      <c r="P9">
        <f t="shared" si="4"/>
        <v>0.63118184399038135</v>
      </c>
      <c r="Q9">
        <v>11</v>
      </c>
      <c r="R9" s="1">
        <v>7467</v>
      </c>
      <c r="S9">
        <v>9</v>
      </c>
      <c r="T9">
        <f t="shared" si="5"/>
        <v>2.0881981984501414</v>
      </c>
      <c r="U9" s="3">
        <v>83517030</v>
      </c>
      <c r="V9" s="1">
        <v>357581</v>
      </c>
      <c r="W9" s="1">
        <v>830000</v>
      </c>
    </row>
    <row r="10" spans="1:23">
      <c r="A10">
        <v>5</v>
      </c>
      <c r="B10" t="s">
        <v>90</v>
      </c>
      <c r="C10" s="8">
        <v>3.7</v>
      </c>
      <c r="D10">
        <v>92.2</v>
      </c>
      <c r="E10">
        <v>15</v>
      </c>
      <c r="F10">
        <f t="shared" si="0"/>
        <v>42.4129</v>
      </c>
      <c r="G10">
        <f t="shared" si="1"/>
        <v>17.355591383769273</v>
      </c>
      <c r="H10">
        <v>9</v>
      </c>
      <c r="I10" s="1">
        <v>16179</v>
      </c>
      <c r="J10">
        <f t="shared" si="2"/>
        <v>6.6205355681408973</v>
      </c>
      <c r="K10">
        <v>11</v>
      </c>
      <c r="L10">
        <v>271</v>
      </c>
      <c r="M10">
        <f t="shared" si="3"/>
        <v>11.089468687596163</v>
      </c>
      <c r="N10">
        <v>3</v>
      </c>
      <c r="O10" s="1">
        <v>41700000</v>
      </c>
      <c r="P10">
        <f t="shared" si="4"/>
        <v>0.6108528870101313</v>
      </c>
      <c r="Q10">
        <v>14</v>
      </c>
      <c r="R10" s="1">
        <v>3200</v>
      </c>
      <c r="S10">
        <v>15</v>
      </c>
      <c r="T10">
        <f t="shared" si="5"/>
        <v>1.3094575572069271</v>
      </c>
      <c r="U10" s="3">
        <v>68265209</v>
      </c>
      <c r="V10" s="1">
        <v>244376</v>
      </c>
      <c r="W10" s="1">
        <v>424129</v>
      </c>
    </row>
    <row r="11" spans="1:23">
      <c r="A11">
        <v>4</v>
      </c>
      <c r="B11" t="s">
        <v>125</v>
      </c>
      <c r="C11" s="8">
        <v>3.7</v>
      </c>
      <c r="D11">
        <v>92</v>
      </c>
      <c r="E11">
        <v>16</v>
      </c>
      <c r="F11">
        <f t="shared" si="0"/>
        <v>4.2793000000000001</v>
      </c>
      <c r="G11">
        <f t="shared" si="1"/>
        <v>11.893551973318511</v>
      </c>
      <c r="H11">
        <v>16</v>
      </c>
      <c r="I11" s="1">
        <v>1782</v>
      </c>
      <c r="J11">
        <f t="shared" si="2"/>
        <v>4.9527515286270152</v>
      </c>
      <c r="K11">
        <v>16</v>
      </c>
      <c r="L11">
        <v>35</v>
      </c>
      <c r="M11">
        <f t="shared" si="3"/>
        <v>9.7276264591439681</v>
      </c>
      <c r="N11">
        <v>4</v>
      </c>
      <c r="O11" s="1">
        <v>23342799</v>
      </c>
      <c r="P11">
        <f t="shared" si="4"/>
        <v>1.0002083731826157</v>
      </c>
      <c r="Q11">
        <v>1</v>
      </c>
      <c r="R11" s="1">
        <v>0</v>
      </c>
      <c r="S11">
        <v>46</v>
      </c>
      <c r="T11">
        <f t="shared" si="5"/>
        <v>0</v>
      </c>
      <c r="U11" s="3">
        <v>23337936</v>
      </c>
      <c r="V11" s="1">
        <v>35980</v>
      </c>
      <c r="W11" s="1">
        <v>42793</v>
      </c>
    </row>
    <row r="12" spans="1:23">
      <c r="A12">
        <v>5</v>
      </c>
      <c r="B12" t="s">
        <v>104</v>
      </c>
      <c r="C12" s="8">
        <v>3.8</v>
      </c>
      <c r="D12">
        <v>99</v>
      </c>
      <c r="E12">
        <v>3</v>
      </c>
      <c r="F12">
        <f t="shared" si="0"/>
        <v>430.47149999999999</v>
      </c>
      <c r="G12">
        <f t="shared" si="1"/>
        <v>5.3808937500000003</v>
      </c>
      <c r="H12">
        <v>25</v>
      </c>
      <c r="I12" s="1">
        <v>220044</v>
      </c>
      <c r="J12">
        <f t="shared" si="2"/>
        <v>2.7505500000000001</v>
      </c>
      <c r="K12">
        <v>23</v>
      </c>
      <c r="L12">
        <v>5054</v>
      </c>
      <c r="M12">
        <f t="shared" si="3"/>
        <v>6.3174999999999999</v>
      </c>
      <c r="N12">
        <v>11</v>
      </c>
      <c r="O12" s="1">
        <v>283400986</v>
      </c>
      <c r="P12">
        <f t="shared" si="4"/>
        <v>0.83326030619157765</v>
      </c>
      <c r="Q12">
        <v>2</v>
      </c>
      <c r="R12" s="1">
        <v>41009</v>
      </c>
      <c r="S12">
        <v>29</v>
      </c>
      <c r="T12">
        <f t="shared" si="5"/>
        <v>0.51261250000000003</v>
      </c>
      <c r="U12" s="3">
        <v>340110988</v>
      </c>
      <c r="V12" s="1">
        <v>8000000</v>
      </c>
      <c r="W12" s="1">
        <v>4304715</v>
      </c>
    </row>
    <row r="13" spans="1:23">
      <c r="A13">
        <v>4</v>
      </c>
      <c r="B13" t="s">
        <v>63</v>
      </c>
      <c r="C13" s="8">
        <v>3.6</v>
      </c>
      <c r="D13">
        <v>90</v>
      </c>
      <c r="E13">
        <v>18</v>
      </c>
      <c r="F13">
        <f t="shared" si="0"/>
        <v>2.0390999999999999</v>
      </c>
      <c r="G13">
        <f t="shared" si="1"/>
        <v>13.593999999999999</v>
      </c>
      <c r="H13">
        <v>14</v>
      </c>
      <c r="I13" s="1">
        <v>1511</v>
      </c>
      <c r="J13">
        <f t="shared" si="2"/>
        <v>10.073333333333334</v>
      </c>
      <c r="K13">
        <v>4</v>
      </c>
      <c r="L13">
        <v>33</v>
      </c>
      <c r="M13">
        <f t="shared" si="3"/>
        <v>22</v>
      </c>
      <c r="N13">
        <v>2</v>
      </c>
      <c r="O13" s="1">
        <v>4000000</v>
      </c>
      <c r="P13">
        <f t="shared" si="4"/>
        <v>0.39528035259007449</v>
      </c>
      <c r="Q13">
        <v>27</v>
      </c>
      <c r="R13" s="1">
        <v>0</v>
      </c>
      <c r="S13">
        <v>45</v>
      </c>
      <c r="T13">
        <f t="shared" si="5"/>
        <v>0</v>
      </c>
      <c r="U13" s="3">
        <v>10119400</v>
      </c>
      <c r="V13" s="1">
        <v>15000</v>
      </c>
      <c r="W13" s="1">
        <v>20391</v>
      </c>
    </row>
    <row r="14" spans="1:23">
      <c r="A14">
        <v>4</v>
      </c>
      <c r="B14" t="s">
        <v>87</v>
      </c>
      <c r="C14" s="8">
        <v>3.8</v>
      </c>
      <c r="D14">
        <v>93.4</v>
      </c>
      <c r="E14">
        <v>11</v>
      </c>
      <c r="F14">
        <f t="shared" si="0"/>
        <v>9.2795000000000005</v>
      </c>
      <c r="G14">
        <f t="shared" si="1"/>
        <v>9.2395849928309701</v>
      </c>
      <c r="H14">
        <v>18</v>
      </c>
      <c r="I14" s="1">
        <v>4837</v>
      </c>
      <c r="J14">
        <f t="shared" si="2"/>
        <v>4.8161940417396849</v>
      </c>
      <c r="K14">
        <v>17</v>
      </c>
      <c r="L14">
        <v>71</v>
      </c>
      <c r="M14">
        <f t="shared" si="3"/>
        <v>7.0694599330890551</v>
      </c>
      <c r="N14">
        <v>9</v>
      </c>
      <c r="O14" s="1">
        <v>25949201</v>
      </c>
      <c r="P14">
        <f t="shared" si="4"/>
        <v>0.50721769548796325</v>
      </c>
      <c r="Q14">
        <v>22</v>
      </c>
      <c r="R14" s="1">
        <v>1600</v>
      </c>
      <c r="S14">
        <v>11</v>
      </c>
      <c r="T14">
        <f t="shared" si="5"/>
        <v>1.5931177314003504</v>
      </c>
      <c r="U14" s="3">
        <v>51159889</v>
      </c>
      <c r="V14" s="1">
        <v>100432</v>
      </c>
      <c r="W14" s="1">
        <v>92795</v>
      </c>
    </row>
    <row r="15" spans="1:23">
      <c r="A15">
        <v>5</v>
      </c>
      <c r="B15" t="s">
        <v>88</v>
      </c>
      <c r="C15" s="8">
        <v>3.9</v>
      </c>
      <c r="D15">
        <v>84.3</v>
      </c>
      <c r="E15">
        <v>26</v>
      </c>
      <c r="F15">
        <f t="shared" si="0"/>
        <v>105.3215</v>
      </c>
      <c r="G15">
        <f t="shared" si="1"/>
        <v>19.149363636363635</v>
      </c>
      <c r="H15">
        <v>8</v>
      </c>
      <c r="I15" s="1">
        <v>27483</v>
      </c>
      <c r="J15">
        <f t="shared" si="2"/>
        <v>4.9969090909090905</v>
      </c>
      <c r="K15">
        <v>15</v>
      </c>
      <c r="L15">
        <v>294</v>
      </c>
      <c r="M15">
        <f t="shared" si="3"/>
        <v>5.3454545454545457</v>
      </c>
      <c r="N15">
        <v>14</v>
      </c>
      <c r="O15" s="1">
        <v>44444965</v>
      </c>
      <c r="P15">
        <f t="shared" si="4"/>
        <v>0.64705574481714423</v>
      </c>
      <c r="Q15">
        <v>9</v>
      </c>
      <c r="R15" s="1">
        <v>8501</v>
      </c>
      <c r="S15">
        <v>12</v>
      </c>
      <c r="T15">
        <f t="shared" si="5"/>
        <v>1.5456363636363637</v>
      </c>
      <c r="U15" s="3">
        <v>68688000</v>
      </c>
      <c r="V15" s="1">
        <v>550000</v>
      </c>
      <c r="W15" s="1">
        <v>1053215</v>
      </c>
    </row>
    <row r="16" spans="1:23">
      <c r="A16">
        <v>4</v>
      </c>
      <c r="B16" t="s">
        <v>64</v>
      </c>
      <c r="C16" s="8">
        <v>4</v>
      </c>
      <c r="D16">
        <v>92.5</v>
      </c>
      <c r="E16">
        <v>14</v>
      </c>
      <c r="F16">
        <f t="shared" si="0"/>
        <v>12.64</v>
      </c>
      <c r="G16">
        <f t="shared" si="1"/>
        <v>15.069505710675028</v>
      </c>
      <c r="H16">
        <v>12</v>
      </c>
      <c r="I16" s="1">
        <v>4859</v>
      </c>
      <c r="J16">
        <f t="shared" si="2"/>
        <v>5.7929373614058512</v>
      </c>
      <c r="K16">
        <v>14</v>
      </c>
      <c r="L16">
        <v>24</v>
      </c>
      <c r="M16">
        <f t="shared" si="3"/>
        <v>2.8612985526598154</v>
      </c>
      <c r="N16">
        <v>22</v>
      </c>
      <c r="O16" s="1">
        <v>5185006</v>
      </c>
      <c r="P16">
        <f t="shared" si="4"/>
        <v>0.56353058185090188</v>
      </c>
      <c r="Q16">
        <v>17</v>
      </c>
      <c r="R16" s="1">
        <v>358</v>
      </c>
      <c r="S16">
        <v>32</v>
      </c>
      <c r="T16">
        <f t="shared" si="5"/>
        <v>0.42681036743842249</v>
      </c>
      <c r="U16" s="3">
        <v>9200931</v>
      </c>
      <c r="V16" s="1">
        <v>83878</v>
      </c>
      <c r="W16" s="1">
        <v>126400</v>
      </c>
    </row>
    <row r="17" spans="1:23">
      <c r="A17">
        <v>4</v>
      </c>
      <c r="B17" t="s">
        <v>83</v>
      </c>
      <c r="C17" s="8">
        <v>3.7</v>
      </c>
      <c r="D17">
        <v>80.3</v>
      </c>
      <c r="E17">
        <v>33</v>
      </c>
      <c r="F17">
        <f t="shared" si="0"/>
        <v>48.77</v>
      </c>
      <c r="G17">
        <f t="shared" si="1"/>
        <v>16.145371240912642</v>
      </c>
      <c r="H17">
        <v>11</v>
      </c>
      <c r="I17" s="1">
        <v>24567</v>
      </c>
      <c r="J17">
        <f t="shared" si="2"/>
        <v>8.1329369545930064</v>
      </c>
      <c r="K17">
        <v>7</v>
      </c>
      <c r="L17">
        <v>98</v>
      </c>
      <c r="M17">
        <f t="shared" si="3"/>
        <v>3.2443026073599324</v>
      </c>
      <c r="N17">
        <v>19</v>
      </c>
      <c r="O17" s="1">
        <v>44888074</v>
      </c>
      <c r="P17">
        <f t="shared" si="4"/>
        <v>0.76185778395270953</v>
      </c>
      <c r="Q17">
        <v>3</v>
      </c>
      <c r="R17" s="1">
        <v>2400</v>
      </c>
      <c r="S17">
        <v>22</v>
      </c>
      <c r="T17">
        <f t="shared" si="5"/>
        <v>0.79452308751671807</v>
      </c>
      <c r="U17" s="3">
        <v>58919230</v>
      </c>
      <c r="V17" s="1">
        <v>302068</v>
      </c>
      <c r="W17" s="1">
        <v>487700</v>
      </c>
    </row>
    <row r="18" spans="1:23">
      <c r="A18">
        <v>4.5</v>
      </c>
      <c r="B18" t="s">
        <v>185</v>
      </c>
      <c r="C18" s="8">
        <v>3.8</v>
      </c>
      <c r="D18">
        <v>88</v>
      </c>
      <c r="E18">
        <v>21.5</v>
      </c>
      <c r="F18">
        <v>550</v>
      </c>
      <c r="G18">
        <f t="shared" si="1"/>
        <v>13.017431050217935</v>
      </c>
      <c r="H18">
        <v>15.5</v>
      </c>
      <c r="I18" s="1">
        <v>211430</v>
      </c>
      <c r="J18">
        <f t="shared" si="2"/>
        <v>5.0041371762683236</v>
      </c>
      <c r="K18">
        <v>14.5</v>
      </c>
      <c r="L18">
        <v>1611</v>
      </c>
      <c r="M18">
        <f t="shared" si="3"/>
        <v>3.8129238948911079</v>
      </c>
      <c r="N18">
        <v>16.5</v>
      </c>
      <c r="O18" s="1">
        <v>293975047</v>
      </c>
      <c r="P18">
        <f t="shared" si="4"/>
        <v>0.65234000430017314</v>
      </c>
      <c r="Q18">
        <v>8.5</v>
      </c>
      <c r="R18" s="1">
        <v>41000</v>
      </c>
      <c r="S18">
        <v>18.5</v>
      </c>
      <c r="T18">
        <f t="shared" si="5"/>
        <v>0.97039031465260972</v>
      </c>
      <c r="U18" s="3">
        <v>450646971</v>
      </c>
      <c r="V18" s="1">
        <v>4225104</v>
      </c>
      <c r="W18" s="1">
        <v>5500000</v>
      </c>
    </row>
    <row r="19" spans="1:23">
      <c r="A19">
        <v>3</v>
      </c>
      <c r="B19" t="s">
        <v>78</v>
      </c>
      <c r="C19" s="8">
        <v>3.6</v>
      </c>
      <c r="D19">
        <v>95</v>
      </c>
      <c r="E19">
        <v>7</v>
      </c>
      <c r="F19">
        <f t="shared" ref="F19:F52" si="6">W19/10000</f>
        <v>19.8932</v>
      </c>
      <c r="G19">
        <f t="shared" si="1"/>
        <v>6.6310666666666664</v>
      </c>
      <c r="H19">
        <v>23</v>
      </c>
      <c r="I19" s="1">
        <v>2041</v>
      </c>
      <c r="J19">
        <f t="shared" si="2"/>
        <v>0.68033333333333335</v>
      </c>
      <c r="K19">
        <v>42</v>
      </c>
      <c r="L19">
        <v>39</v>
      </c>
      <c r="M19">
        <f t="shared" si="3"/>
        <v>1.3</v>
      </c>
      <c r="N19">
        <v>32</v>
      </c>
      <c r="O19" s="1">
        <v>23822322</v>
      </c>
      <c r="P19">
        <f t="shared" si="4"/>
        <v>0.69591407963963225</v>
      </c>
      <c r="Q19">
        <v>5</v>
      </c>
      <c r="R19" s="1">
        <v>7200</v>
      </c>
      <c r="S19">
        <v>8</v>
      </c>
      <c r="T19">
        <f t="shared" si="5"/>
        <v>2.4</v>
      </c>
      <c r="U19" s="3">
        <v>34231700</v>
      </c>
      <c r="V19" s="1">
        <v>300000</v>
      </c>
      <c r="W19" s="1">
        <v>198932</v>
      </c>
    </row>
    <row r="20" spans="1:23">
      <c r="A20">
        <v>4</v>
      </c>
      <c r="B20" t="s">
        <v>67</v>
      </c>
      <c r="C20" s="8">
        <v>4</v>
      </c>
      <c r="D20">
        <v>95.3</v>
      </c>
      <c r="E20">
        <v>6</v>
      </c>
      <c r="F20">
        <f t="shared" si="6"/>
        <v>14.01</v>
      </c>
      <c r="G20">
        <f t="shared" si="1"/>
        <v>3.5024999999999999</v>
      </c>
      <c r="H20">
        <v>26</v>
      </c>
      <c r="I20" s="1">
        <v>10912</v>
      </c>
      <c r="J20">
        <f t="shared" si="2"/>
        <v>2.7280000000000002</v>
      </c>
      <c r="K20">
        <v>24</v>
      </c>
      <c r="L20">
        <v>149</v>
      </c>
      <c r="M20">
        <f t="shared" si="3"/>
        <v>3.7250000000000001</v>
      </c>
      <c r="N20">
        <v>18</v>
      </c>
      <c r="O20" s="1">
        <v>5682251</v>
      </c>
      <c r="P20">
        <f t="shared" si="4"/>
        <v>0.53623078308129779</v>
      </c>
      <c r="Q20">
        <v>21</v>
      </c>
      <c r="R20" s="1">
        <v>2052</v>
      </c>
      <c r="S20">
        <v>28</v>
      </c>
      <c r="T20">
        <f t="shared" si="5"/>
        <v>0.51300000000000001</v>
      </c>
      <c r="U20" s="3">
        <v>10596652</v>
      </c>
      <c r="V20" s="1">
        <v>400000</v>
      </c>
      <c r="W20" s="1">
        <v>140100</v>
      </c>
    </row>
    <row r="21" spans="1:23">
      <c r="A21">
        <v>4</v>
      </c>
      <c r="B21" t="s">
        <v>82</v>
      </c>
      <c r="C21" s="8">
        <v>3.9</v>
      </c>
      <c r="D21">
        <v>91.1</v>
      </c>
      <c r="E21">
        <v>17</v>
      </c>
      <c r="F21">
        <f t="shared" si="6"/>
        <v>68.317499999999995</v>
      </c>
      <c r="G21">
        <f t="shared" si="1"/>
        <v>13.518313314996933</v>
      </c>
      <c r="H21">
        <v>15</v>
      </c>
      <c r="I21" s="1">
        <v>16355</v>
      </c>
      <c r="J21">
        <f t="shared" si="2"/>
        <v>3.2362427528345568</v>
      </c>
      <c r="K21">
        <v>21</v>
      </c>
      <c r="L21">
        <v>102</v>
      </c>
      <c r="M21">
        <f t="shared" si="3"/>
        <v>2.0183232087381522</v>
      </c>
      <c r="N21">
        <v>26</v>
      </c>
      <c r="O21" s="1">
        <v>30724166</v>
      </c>
      <c r="P21">
        <f t="shared" si="4"/>
        <v>0.62300668694421757</v>
      </c>
      <c r="Q21">
        <v>12</v>
      </c>
      <c r="R21" s="1">
        <v>1000</v>
      </c>
      <c r="S21">
        <v>34</v>
      </c>
      <c r="T21">
        <f t="shared" si="5"/>
        <v>0.19787482438609336</v>
      </c>
      <c r="U21" s="3">
        <v>49315949</v>
      </c>
      <c r="V21" s="1">
        <v>505370</v>
      </c>
      <c r="W21" s="1">
        <v>683175</v>
      </c>
    </row>
    <row r="22" spans="1:23" ht="13.5" customHeight="1">
      <c r="A22">
        <v>2</v>
      </c>
      <c r="B22" t="s">
        <v>75</v>
      </c>
      <c r="C22" s="8">
        <v>3.4</v>
      </c>
      <c r="D22">
        <v>94.7</v>
      </c>
      <c r="E22">
        <v>8</v>
      </c>
      <c r="F22">
        <f t="shared" si="6"/>
        <v>4.7529000000000003</v>
      </c>
      <c r="G22">
        <f t="shared" si="1"/>
        <v>3.1686000000000001</v>
      </c>
      <c r="H22">
        <v>27</v>
      </c>
      <c r="I22" s="1">
        <v>5590</v>
      </c>
      <c r="J22">
        <f t="shared" si="2"/>
        <v>3.7266666666666666</v>
      </c>
      <c r="K22">
        <v>19</v>
      </c>
      <c r="L22">
        <v>82</v>
      </c>
      <c r="M22">
        <f t="shared" si="3"/>
        <v>5.4666666666666668</v>
      </c>
      <c r="N22">
        <v>13</v>
      </c>
      <c r="O22" s="1">
        <v>6895799</v>
      </c>
      <c r="P22">
        <f t="shared" si="4"/>
        <v>0.19534686410419408</v>
      </c>
      <c r="Q22">
        <v>36</v>
      </c>
      <c r="R22" s="1">
        <v>0</v>
      </c>
      <c r="S22">
        <v>47</v>
      </c>
      <c r="T22">
        <f t="shared" si="5"/>
        <v>0</v>
      </c>
      <c r="U22" s="3">
        <v>35300280</v>
      </c>
      <c r="V22" s="1">
        <v>150000</v>
      </c>
      <c r="W22" s="1">
        <v>47529</v>
      </c>
    </row>
    <row r="23" spans="1:23">
      <c r="A23">
        <v>1</v>
      </c>
      <c r="B23" t="s">
        <v>89</v>
      </c>
      <c r="C23" s="8">
        <v>3.1</v>
      </c>
      <c r="D23">
        <v>65.400000000000006</v>
      </c>
      <c r="E23">
        <v>44</v>
      </c>
      <c r="F23">
        <f t="shared" si="6"/>
        <v>24</v>
      </c>
      <c r="G23">
        <f t="shared" si="1"/>
        <v>24</v>
      </c>
      <c r="H23">
        <v>5</v>
      </c>
      <c r="I23" s="1">
        <v>7024</v>
      </c>
      <c r="J23">
        <f t="shared" si="2"/>
        <v>7.024</v>
      </c>
      <c r="K23">
        <v>10</v>
      </c>
      <c r="L23">
        <v>72</v>
      </c>
      <c r="M23">
        <f t="shared" si="3"/>
        <v>7.2</v>
      </c>
      <c r="N23">
        <v>8</v>
      </c>
      <c r="O23" s="1">
        <v>9950000</v>
      </c>
      <c r="P23">
        <f t="shared" si="4"/>
        <v>9.275550599480234E-2</v>
      </c>
      <c r="Q23">
        <v>45</v>
      </c>
      <c r="R23" s="1">
        <v>3500</v>
      </c>
      <c r="S23">
        <v>5</v>
      </c>
      <c r="T23">
        <f t="shared" si="5"/>
        <v>3.5</v>
      </c>
      <c r="U23" s="3">
        <v>107271260</v>
      </c>
      <c r="V23" s="1">
        <v>100000</v>
      </c>
      <c r="W23" s="1">
        <v>240000</v>
      </c>
    </row>
    <row r="24" spans="1:23">
      <c r="A24">
        <v>4</v>
      </c>
      <c r="B24" t="s">
        <v>126</v>
      </c>
      <c r="C24" s="8">
        <v>4</v>
      </c>
      <c r="D24">
        <v>100</v>
      </c>
      <c r="E24">
        <v>2</v>
      </c>
      <c r="F24">
        <f t="shared" si="6"/>
        <v>0.40799999999999997</v>
      </c>
      <c r="G24">
        <f t="shared" si="1"/>
        <v>0.81599999999999995</v>
      </c>
      <c r="H24">
        <v>41</v>
      </c>
      <c r="I24" s="1">
        <v>900</v>
      </c>
      <c r="J24">
        <f t="shared" si="2"/>
        <v>1.8</v>
      </c>
      <c r="K24">
        <v>28</v>
      </c>
      <c r="L24">
        <v>25</v>
      </c>
      <c r="M24">
        <f t="shared" si="3"/>
        <v>5</v>
      </c>
      <c r="N24">
        <v>16</v>
      </c>
      <c r="O24" s="1">
        <v>3391125</v>
      </c>
      <c r="P24">
        <f t="shared" si="4"/>
        <v>0.31756400397207263</v>
      </c>
      <c r="Q24">
        <v>31</v>
      </c>
      <c r="R24" s="1">
        <v>14</v>
      </c>
      <c r="S24">
        <v>41</v>
      </c>
      <c r="T24">
        <f t="shared" si="5"/>
        <v>2.8000000000000001E-2</v>
      </c>
      <c r="U24" s="3">
        <v>10678556</v>
      </c>
      <c r="V24" s="1">
        <v>50000</v>
      </c>
      <c r="W24" s="1">
        <v>4080</v>
      </c>
    </row>
    <row r="25" spans="1:23">
      <c r="A25">
        <v>3</v>
      </c>
      <c r="B25" t="s">
        <v>59</v>
      </c>
      <c r="C25" s="8">
        <v>3.7</v>
      </c>
      <c r="D25">
        <v>92.7</v>
      </c>
      <c r="E25">
        <v>13</v>
      </c>
      <c r="F25">
        <f t="shared" si="6"/>
        <v>7.2032999999999996</v>
      </c>
      <c r="G25">
        <f t="shared" si="1"/>
        <v>2.4011</v>
      </c>
      <c r="H25">
        <v>32</v>
      </c>
      <c r="I25" s="1">
        <v>4240</v>
      </c>
      <c r="J25">
        <f t="shared" si="2"/>
        <v>1.4133333333333333</v>
      </c>
      <c r="K25">
        <v>33</v>
      </c>
      <c r="L25">
        <v>67</v>
      </c>
      <c r="M25">
        <f t="shared" si="3"/>
        <v>2.2333333333333334</v>
      </c>
      <c r="N25">
        <v>24</v>
      </c>
      <c r="O25" s="1">
        <v>3469692</v>
      </c>
      <c r="P25">
        <f t="shared" si="4"/>
        <v>0.6188205196984311</v>
      </c>
      <c r="Q25">
        <v>13</v>
      </c>
      <c r="R25" s="1">
        <v>1577</v>
      </c>
      <c r="S25">
        <v>27</v>
      </c>
      <c r="T25">
        <f t="shared" si="5"/>
        <v>0.52566666666666662</v>
      </c>
      <c r="U25" s="3">
        <v>5606944</v>
      </c>
      <c r="V25" s="1">
        <v>300000</v>
      </c>
      <c r="W25" s="1">
        <v>72033</v>
      </c>
    </row>
    <row r="26" spans="1:23">
      <c r="A26">
        <v>3</v>
      </c>
      <c r="B26" t="s">
        <v>68</v>
      </c>
      <c r="C26" s="8">
        <v>3.2</v>
      </c>
      <c r="D26">
        <v>82.2</v>
      </c>
      <c r="E26">
        <v>28</v>
      </c>
      <c r="F26">
        <f t="shared" si="6"/>
        <v>6.3362999999999996</v>
      </c>
      <c r="G26">
        <f t="shared" si="1"/>
        <v>2.6578662572672589</v>
      </c>
      <c r="H26">
        <v>30</v>
      </c>
      <c r="I26" s="1">
        <v>20077</v>
      </c>
      <c r="J26">
        <f t="shared" si="2"/>
        <v>8.4216310539517956</v>
      </c>
      <c r="K26">
        <v>6</v>
      </c>
      <c r="L26">
        <v>26</v>
      </c>
      <c r="M26">
        <f t="shared" si="3"/>
        <v>1.090613176285036</v>
      </c>
      <c r="N26">
        <v>38</v>
      </c>
      <c r="O26" s="1">
        <v>9148003</v>
      </c>
      <c r="P26">
        <f t="shared" si="4"/>
        <v>0.48056251852079879</v>
      </c>
      <c r="Q26">
        <v>23</v>
      </c>
      <c r="R26" s="1">
        <v>1731</v>
      </c>
      <c r="S26">
        <v>25</v>
      </c>
      <c r="T26">
        <f t="shared" si="5"/>
        <v>0.72609669544207589</v>
      </c>
      <c r="U26" s="3">
        <v>19036031</v>
      </c>
      <c r="V26" s="1">
        <v>238398</v>
      </c>
      <c r="W26" s="1">
        <v>63363</v>
      </c>
    </row>
    <row r="27" spans="1:23">
      <c r="A27">
        <v>3</v>
      </c>
      <c r="B27" t="s">
        <v>92</v>
      </c>
      <c r="C27" s="8">
        <v>3.5</v>
      </c>
      <c r="D27">
        <v>89.7</v>
      </c>
      <c r="E27">
        <v>20</v>
      </c>
      <c r="F27">
        <f t="shared" si="6"/>
        <v>30</v>
      </c>
      <c r="G27">
        <f t="shared" si="1"/>
        <v>5.8465855940130966</v>
      </c>
      <c r="H27">
        <v>24</v>
      </c>
      <c r="I27" s="1">
        <v>4845</v>
      </c>
      <c r="J27">
        <f t="shared" si="2"/>
        <v>0.94422357343311503</v>
      </c>
      <c r="K27">
        <v>40</v>
      </c>
      <c r="L27">
        <v>63</v>
      </c>
      <c r="M27">
        <f t="shared" si="3"/>
        <v>1.2277829747427502</v>
      </c>
      <c r="N27">
        <v>34</v>
      </c>
      <c r="O27" s="1">
        <v>44300000</v>
      </c>
      <c r="P27">
        <f t="shared" si="4"/>
        <v>0.67264260782476182</v>
      </c>
      <c r="Q27">
        <v>7</v>
      </c>
      <c r="R27" s="1">
        <v>4000</v>
      </c>
      <c r="S27">
        <v>23</v>
      </c>
      <c r="T27">
        <f t="shared" si="5"/>
        <v>0.77954474586841283</v>
      </c>
      <c r="U27" s="3">
        <v>65859640</v>
      </c>
      <c r="V27" s="1">
        <v>513120</v>
      </c>
      <c r="W27" s="1">
        <v>300000</v>
      </c>
    </row>
    <row r="28" spans="1:23">
      <c r="A28">
        <v>3</v>
      </c>
      <c r="B28" t="s">
        <v>62</v>
      </c>
      <c r="C28" s="8">
        <v>3.7</v>
      </c>
      <c r="D28">
        <v>81.400000000000006</v>
      </c>
      <c r="E28">
        <v>30</v>
      </c>
      <c r="F28">
        <f t="shared" si="6"/>
        <v>11.7</v>
      </c>
      <c r="G28">
        <f t="shared" si="1"/>
        <v>8.8665247012284301</v>
      </c>
      <c r="H28">
        <v>19</v>
      </c>
      <c r="I28" s="1">
        <v>2240</v>
      </c>
      <c r="J28">
        <f t="shared" si="2"/>
        <v>1.6975226778420243</v>
      </c>
      <c r="K28">
        <v>31</v>
      </c>
      <c r="L28">
        <v>68</v>
      </c>
      <c r="M28">
        <f t="shared" si="3"/>
        <v>5.1531938434490021</v>
      </c>
      <c r="N28">
        <v>15</v>
      </c>
      <c r="O28" s="1">
        <v>5777241</v>
      </c>
      <c r="P28">
        <f t="shared" si="4"/>
        <v>0.55550394230769229</v>
      </c>
      <c r="Q28">
        <v>19</v>
      </c>
      <c r="R28" s="1">
        <v>6</v>
      </c>
      <c r="S28">
        <v>42</v>
      </c>
      <c r="T28">
        <f t="shared" si="5"/>
        <v>4.5469357442197078E-3</v>
      </c>
      <c r="U28" s="3">
        <v>10400000</v>
      </c>
      <c r="V28" s="1">
        <v>131957</v>
      </c>
      <c r="W28" s="1">
        <v>117000</v>
      </c>
    </row>
    <row r="29" spans="1:23">
      <c r="A29">
        <v>2</v>
      </c>
      <c r="B29" t="s">
        <v>74</v>
      </c>
      <c r="C29" s="8">
        <v>3.7</v>
      </c>
      <c r="D29">
        <v>94.7</v>
      </c>
      <c r="E29">
        <v>9</v>
      </c>
      <c r="F29">
        <f t="shared" si="6"/>
        <v>40.321399999999997</v>
      </c>
      <c r="G29">
        <f t="shared" si="1"/>
        <v>0.80642800000000003</v>
      </c>
      <c r="H29">
        <v>42</v>
      </c>
      <c r="I29" s="1">
        <v>32924</v>
      </c>
      <c r="J29">
        <f t="shared" si="2"/>
        <v>0.65847999999999995</v>
      </c>
      <c r="K29">
        <v>43</v>
      </c>
      <c r="L29">
        <v>349</v>
      </c>
      <c r="M29">
        <f t="shared" si="3"/>
        <v>0.69799999999999995</v>
      </c>
      <c r="N29">
        <v>48</v>
      </c>
      <c r="O29" s="1">
        <v>20142942</v>
      </c>
      <c r="P29">
        <f t="shared" si="4"/>
        <v>0.73514351982241766</v>
      </c>
      <c r="Q29">
        <v>4</v>
      </c>
      <c r="R29" s="1">
        <v>2000</v>
      </c>
      <c r="S29">
        <v>40</v>
      </c>
      <c r="T29">
        <f t="shared" si="5"/>
        <v>0.04</v>
      </c>
      <c r="U29" s="3">
        <v>27400013</v>
      </c>
      <c r="V29" s="1">
        <v>5000000</v>
      </c>
      <c r="W29" s="1">
        <v>403214</v>
      </c>
    </row>
    <row r="30" spans="1:23">
      <c r="A30">
        <v>4</v>
      </c>
      <c r="B30" t="s">
        <v>106</v>
      </c>
      <c r="C30" s="8">
        <v>3.7</v>
      </c>
      <c r="D30">
        <v>79</v>
      </c>
      <c r="E30">
        <v>37</v>
      </c>
      <c r="F30">
        <f t="shared" si="6"/>
        <v>534.47</v>
      </c>
      <c r="G30">
        <f t="shared" si="1"/>
        <v>7.6352857142857147</v>
      </c>
      <c r="H30">
        <v>21</v>
      </c>
      <c r="I30" s="1">
        <v>159000</v>
      </c>
      <c r="J30">
        <f t="shared" si="2"/>
        <v>2.2714285714285714</v>
      </c>
      <c r="K30">
        <v>26</v>
      </c>
      <c r="L30">
        <v>510</v>
      </c>
      <c r="M30">
        <f t="shared" si="3"/>
        <v>0.72857142857142854</v>
      </c>
      <c r="N30">
        <v>47</v>
      </c>
      <c r="O30" s="1">
        <v>353000000</v>
      </c>
      <c r="P30">
        <f t="shared" si="4"/>
        <v>0.25066038003806063</v>
      </c>
      <c r="Q30">
        <v>34</v>
      </c>
      <c r="R30" s="1">
        <v>68000</v>
      </c>
      <c r="S30">
        <v>18</v>
      </c>
      <c r="T30">
        <f t="shared" si="5"/>
        <v>0.97142857142857142</v>
      </c>
      <c r="U30" s="3">
        <v>1408280000</v>
      </c>
      <c r="V30" s="1">
        <v>7000000</v>
      </c>
      <c r="W30" s="1">
        <v>5344700</v>
      </c>
    </row>
    <row r="31" spans="1:23">
      <c r="A31">
        <v>3</v>
      </c>
      <c r="B31" t="s">
        <v>95</v>
      </c>
      <c r="C31" s="8">
        <v>3.3</v>
      </c>
      <c r="D31">
        <v>79.099999999999994</v>
      </c>
      <c r="E31">
        <v>36</v>
      </c>
      <c r="F31">
        <f t="shared" si="6"/>
        <v>28.066299999999998</v>
      </c>
      <c r="G31">
        <f t="shared" si="1"/>
        <v>8.4705438522363732</v>
      </c>
      <c r="H31">
        <v>20</v>
      </c>
      <c r="I31" s="1">
        <v>3315</v>
      </c>
      <c r="J31">
        <f t="shared" si="2"/>
        <v>1.0004828876682561</v>
      </c>
      <c r="K31">
        <v>38</v>
      </c>
      <c r="L31">
        <v>38</v>
      </c>
      <c r="M31">
        <f t="shared" si="3"/>
        <v>1.1468582121084083</v>
      </c>
      <c r="N31">
        <v>37</v>
      </c>
      <c r="O31" s="1">
        <v>4180480</v>
      </c>
      <c r="P31">
        <f t="shared" si="4"/>
        <v>4.1250476102139451E-2</v>
      </c>
      <c r="Q31">
        <v>48</v>
      </c>
      <c r="R31" s="1">
        <v>26600</v>
      </c>
      <c r="S31">
        <v>2</v>
      </c>
      <c r="T31">
        <f t="shared" si="5"/>
        <v>8.0280074847588576</v>
      </c>
      <c r="U31" s="3">
        <v>101343800</v>
      </c>
      <c r="V31" s="1">
        <v>331340</v>
      </c>
      <c r="W31" s="1">
        <v>280663</v>
      </c>
    </row>
    <row r="32" spans="1:23">
      <c r="A32">
        <v>2</v>
      </c>
      <c r="B32" t="s">
        <v>79</v>
      </c>
      <c r="C32" s="8">
        <v>2.7</v>
      </c>
      <c r="D32">
        <v>74.599999999999994</v>
      </c>
      <c r="E32">
        <v>40</v>
      </c>
      <c r="F32">
        <f t="shared" si="6"/>
        <v>16.609500000000001</v>
      </c>
      <c r="G32">
        <f t="shared" si="1"/>
        <v>2.751967525474277</v>
      </c>
      <c r="H32">
        <v>29</v>
      </c>
      <c r="I32" s="1">
        <v>19787</v>
      </c>
      <c r="J32">
        <f t="shared" si="2"/>
        <v>3.2784359208019218</v>
      </c>
      <c r="K32">
        <v>20</v>
      </c>
      <c r="L32">
        <v>108</v>
      </c>
      <c r="M32">
        <f t="shared" si="3"/>
        <v>1.789412641868942</v>
      </c>
      <c r="N32">
        <v>27</v>
      </c>
      <c r="O32" s="1">
        <v>10500000</v>
      </c>
      <c r="P32">
        <f t="shared" si="4"/>
        <v>0.31951798429797335</v>
      </c>
      <c r="Q32">
        <v>30</v>
      </c>
      <c r="R32" s="1">
        <v>1672</v>
      </c>
      <c r="S32">
        <v>33</v>
      </c>
      <c r="T32">
        <f t="shared" si="5"/>
        <v>0.27702758677822881</v>
      </c>
      <c r="U32" s="3">
        <v>32862000</v>
      </c>
      <c r="V32" s="1">
        <v>603550</v>
      </c>
      <c r="W32" s="1">
        <v>166095</v>
      </c>
    </row>
    <row r="33" spans="1:23">
      <c r="A33">
        <v>2</v>
      </c>
      <c r="B33" t="s">
        <v>99</v>
      </c>
      <c r="C33" s="8">
        <v>2.6</v>
      </c>
      <c r="D33">
        <v>39.4</v>
      </c>
      <c r="E33">
        <v>47</v>
      </c>
      <c r="F33">
        <f t="shared" si="6"/>
        <v>11.0311</v>
      </c>
      <c r="G33">
        <f t="shared" si="1"/>
        <v>7.4303516098612423</v>
      </c>
      <c r="H33">
        <v>22</v>
      </c>
      <c r="I33" s="1">
        <v>4458</v>
      </c>
      <c r="J33">
        <f t="shared" si="2"/>
        <v>3.0028290448605683</v>
      </c>
      <c r="K33">
        <v>22</v>
      </c>
      <c r="L33">
        <v>16</v>
      </c>
      <c r="M33">
        <f t="shared" si="3"/>
        <v>1.077731375454668</v>
      </c>
      <c r="N33">
        <v>39</v>
      </c>
      <c r="O33" s="1">
        <v>5982765</v>
      </c>
      <c r="P33">
        <f t="shared" si="4"/>
        <v>3.5228189150903762E-2</v>
      </c>
      <c r="Q33">
        <v>49</v>
      </c>
      <c r="R33" s="1">
        <v>8370</v>
      </c>
      <c r="S33">
        <v>4</v>
      </c>
      <c r="T33">
        <f t="shared" si="5"/>
        <v>5.6378822578472318</v>
      </c>
      <c r="U33" s="3">
        <v>169828911</v>
      </c>
      <c r="V33" s="1">
        <v>148460</v>
      </c>
      <c r="W33" s="1">
        <v>110311</v>
      </c>
    </row>
    <row r="34" spans="1:23">
      <c r="A34">
        <v>3</v>
      </c>
      <c r="B34" t="s">
        <v>98</v>
      </c>
      <c r="C34" s="8">
        <v>2.6</v>
      </c>
      <c r="D34">
        <v>86.7</v>
      </c>
      <c r="E34">
        <v>23</v>
      </c>
      <c r="F34">
        <f t="shared" si="6"/>
        <v>112.41160000000001</v>
      </c>
      <c r="G34">
        <f t="shared" ref="G34:G52" si="7">W34*10/V34</f>
        <v>1.0219236363636364</v>
      </c>
      <c r="H34">
        <v>40</v>
      </c>
      <c r="I34" s="1">
        <v>105000</v>
      </c>
      <c r="J34">
        <f t="shared" ref="J34:J52" si="8">I34*100/V34</f>
        <v>0.95454545454545459</v>
      </c>
      <c r="K34">
        <v>39</v>
      </c>
      <c r="L34">
        <v>594</v>
      </c>
      <c r="M34">
        <f t="shared" ref="M34:M52" si="9">L34*10000/V34</f>
        <v>0.54</v>
      </c>
      <c r="N34">
        <v>49</v>
      </c>
      <c r="O34" s="1">
        <v>53000000</v>
      </c>
      <c r="P34">
        <f t="shared" ref="P34:P52" si="10">O34/U34</f>
        <v>0.36294328514690555</v>
      </c>
      <c r="Q34">
        <v>28</v>
      </c>
      <c r="R34" s="1">
        <v>102000</v>
      </c>
      <c r="S34">
        <v>21</v>
      </c>
      <c r="T34">
        <f t="shared" ref="T34:T52" si="11">R34*100/V34</f>
        <v>0.92727272727272725</v>
      </c>
      <c r="U34" s="3">
        <v>146028325</v>
      </c>
      <c r="V34" s="1">
        <v>11000000</v>
      </c>
      <c r="W34" s="1">
        <v>1124116</v>
      </c>
    </row>
    <row r="35" spans="1:23">
      <c r="A35">
        <v>3</v>
      </c>
      <c r="B35" t="s">
        <v>69</v>
      </c>
      <c r="C35" s="8">
        <v>3</v>
      </c>
      <c r="D35">
        <v>88.4</v>
      </c>
      <c r="E35">
        <v>21</v>
      </c>
      <c r="F35">
        <f t="shared" si="6"/>
        <v>2.1288999999999998</v>
      </c>
      <c r="G35">
        <f t="shared" si="7"/>
        <v>0.35481666666666667</v>
      </c>
      <c r="H35">
        <v>47</v>
      </c>
      <c r="I35" s="1">
        <v>6634</v>
      </c>
      <c r="J35">
        <f t="shared" si="8"/>
        <v>1.1056666666666666</v>
      </c>
      <c r="K35">
        <v>36</v>
      </c>
      <c r="L35">
        <v>90</v>
      </c>
      <c r="M35">
        <f t="shared" si="9"/>
        <v>1.5</v>
      </c>
      <c r="N35">
        <v>30</v>
      </c>
      <c r="O35" s="1">
        <v>6100000</v>
      </c>
      <c r="P35">
        <f t="shared" si="10"/>
        <v>0.30187628980975012</v>
      </c>
      <c r="Q35">
        <v>32</v>
      </c>
      <c r="R35" s="1">
        <v>725</v>
      </c>
      <c r="S35">
        <v>37</v>
      </c>
      <c r="T35">
        <f t="shared" si="11"/>
        <v>0.12083333333333333</v>
      </c>
      <c r="U35" s="3">
        <v>20206953</v>
      </c>
      <c r="V35" s="1">
        <v>600000</v>
      </c>
      <c r="W35" s="1">
        <v>21289</v>
      </c>
    </row>
    <row r="36" spans="1:23">
      <c r="A36">
        <v>3</v>
      </c>
      <c r="B36" t="s">
        <v>105</v>
      </c>
      <c r="C36" s="8">
        <v>3.4</v>
      </c>
      <c r="D36">
        <v>50</v>
      </c>
      <c r="E36">
        <v>46</v>
      </c>
      <c r="F36">
        <f t="shared" si="6"/>
        <v>450</v>
      </c>
      <c r="G36">
        <f t="shared" si="7"/>
        <v>15</v>
      </c>
      <c r="H36">
        <v>13</v>
      </c>
      <c r="I36" s="1">
        <v>69800</v>
      </c>
      <c r="J36">
        <f t="shared" si="8"/>
        <v>2.3266666666666667</v>
      </c>
      <c r="K36">
        <v>25</v>
      </c>
      <c r="L36">
        <v>253</v>
      </c>
      <c r="M36">
        <f t="shared" si="9"/>
        <v>0.84333333333333338</v>
      </c>
      <c r="N36">
        <v>45</v>
      </c>
      <c r="O36" s="1">
        <v>210023289</v>
      </c>
      <c r="P36">
        <f t="shared" si="10"/>
        <v>0.14816541398469973</v>
      </c>
      <c r="Q36">
        <v>41</v>
      </c>
      <c r="R36" s="1">
        <v>14500</v>
      </c>
      <c r="S36">
        <v>30</v>
      </c>
      <c r="T36">
        <f t="shared" si="11"/>
        <v>0.48333333333333334</v>
      </c>
      <c r="U36" s="3">
        <v>1417492000</v>
      </c>
      <c r="V36" s="1">
        <v>3000000</v>
      </c>
      <c r="W36" s="1">
        <v>4500000</v>
      </c>
    </row>
    <row r="37" spans="1:23">
      <c r="A37">
        <v>3</v>
      </c>
      <c r="B37" t="s">
        <v>85</v>
      </c>
      <c r="C37" s="8">
        <v>3.7</v>
      </c>
      <c r="D37">
        <v>82.6</v>
      </c>
      <c r="E37">
        <v>27</v>
      </c>
      <c r="F37">
        <f t="shared" si="6"/>
        <v>15.8124</v>
      </c>
      <c r="G37">
        <f t="shared" si="7"/>
        <v>1.2970658441952605</v>
      </c>
      <c r="H37">
        <v>36</v>
      </c>
      <c r="I37" s="1">
        <v>20953</v>
      </c>
      <c r="J37">
        <f t="shared" si="8"/>
        <v>1.7187410281439435</v>
      </c>
      <c r="K37">
        <v>30</v>
      </c>
      <c r="L37">
        <v>130</v>
      </c>
      <c r="M37">
        <f t="shared" si="9"/>
        <v>1.0663691770090806</v>
      </c>
      <c r="N37">
        <v>42</v>
      </c>
      <c r="O37" s="1">
        <v>13304703</v>
      </c>
      <c r="P37">
        <f t="shared" si="10"/>
        <v>0.21084791994795007</v>
      </c>
      <c r="Q37">
        <v>35</v>
      </c>
      <c r="R37" s="1">
        <v>0</v>
      </c>
      <c r="S37">
        <v>50</v>
      </c>
      <c r="T37">
        <f t="shared" si="11"/>
        <v>0</v>
      </c>
      <c r="U37" s="3">
        <v>63100945</v>
      </c>
      <c r="V37" s="1">
        <v>1219090</v>
      </c>
      <c r="W37" s="1">
        <v>158124</v>
      </c>
    </row>
    <row r="38" spans="1:23">
      <c r="A38">
        <v>2</v>
      </c>
      <c r="B38" t="s">
        <v>81</v>
      </c>
      <c r="C38" s="8">
        <v>4</v>
      </c>
      <c r="D38">
        <v>84.3</v>
      </c>
      <c r="E38">
        <v>25</v>
      </c>
      <c r="F38">
        <f t="shared" si="6"/>
        <v>41.56</v>
      </c>
      <c r="G38">
        <f t="shared" si="7"/>
        <v>0.69266666666666665</v>
      </c>
      <c r="H38">
        <v>43</v>
      </c>
      <c r="I38" s="1">
        <v>49422</v>
      </c>
      <c r="J38">
        <f t="shared" si="8"/>
        <v>0.82369999999999999</v>
      </c>
      <c r="K38">
        <v>41</v>
      </c>
      <c r="L38">
        <v>523</v>
      </c>
      <c r="M38">
        <f t="shared" si="9"/>
        <v>0.8716666666666667</v>
      </c>
      <c r="N38">
        <v>44</v>
      </c>
      <c r="O38" s="1">
        <v>26302526</v>
      </c>
      <c r="P38">
        <f t="shared" si="10"/>
        <v>0.63305159787215926</v>
      </c>
      <c r="Q38">
        <v>10</v>
      </c>
      <c r="R38" s="1">
        <v>3769</v>
      </c>
      <c r="S38">
        <v>39</v>
      </c>
      <c r="T38">
        <f t="shared" si="11"/>
        <v>6.2816666666666673E-2</v>
      </c>
      <c r="U38" s="3">
        <v>41548787</v>
      </c>
      <c r="V38" s="1">
        <v>6000000</v>
      </c>
      <c r="W38" s="1">
        <v>415600</v>
      </c>
    </row>
    <row r="39" spans="1:23">
      <c r="A39">
        <v>2</v>
      </c>
      <c r="B39" t="s">
        <v>80</v>
      </c>
      <c r="C39" s="8">
        <v>2.8</v>
      </c>
      <c r="D39">
        <v>79.5</v>
      </c>
      <c r="E39">
        <v>35</v>
      </c>
      <c r="F39">
        <f t="shared" si="6"/>
        <v>8.1355000000000004</v>
      </c>
      <c r="G39">
        <f t="shared" si="7"/>
        <v>0.406775</v>
      </c>
      <c r="H39">
        <v>45</v>
      </c>
      <c r="I39" s="1">
        <v>36966</v>
      </c>
      <c r="J39">
        <f t="shared" si="8"/>
        <v>1.8483000000000001</v>
      </c>
      <c r="K39">
        <v>27</v>
      </c>
      <c r="L39">
        <v>161</v>
      </c>
      <c r="M39">
        <f t="shared" si="9"/>
        <v>0.80500000000000005</v>
      </c>
      <c r="N39">
        <v>46</v>
      </c>
      <c r="O39" s="1">
        <v>21633587</v>
      </c>
      <c r="P39">
        <f t="shared" si="10"/>
        <v>0.45962760275153797</v>
      </c>
      <c r="Q39">
        <v>24</v>
      </c>
      <c r="R39" s="1">
        <v>11000</v>
      </c>
      <c r="S39">
        <v>26</v>
      </c>
      <c r="T39">
        <f t="shared" si="11"/>
        <v>0.55000000000000004</v>
      </c>
      <c r="U39" s="3">
        <v>47067641</v>
      </c>
      <c r="V39" s="1">
        <v>2000000</v>
      </c>
      <c r="W39" s="1">
        <v>81355</v>
      </c>
    </row>
    <row r="40" spans="1:23" ht="13.5" customHeight="1">
      <c r="A40">
        <v>3</v>
      </c>
      <c r="B40" t="s">
        <v>91</v>
      </c>
      <c r="C40" s="8">
        <v>3.4</v>
      </c>
      <c r="D40">
        <v>81</v>
      </c>
      <c r="E40">
        <v>32</v>
      </c>
      <c r="F40">
        <f t="shared" si="6"/>
        <v>2.9878999999999998</v>
      </c>
      <c r="G40">
        <f t="shared" si="7"/>
        <v>0.381322728769389</v>
      </c>
      <c r="H40">
        <v>46</v>
      </c>
      <c r="I40" s="1">
        <v>13919</v>
      </c>
      <c r="J40">
        <f t="shared" si="8"/>
        <v>1.7763750666826621</v>
      </c>
      <c r="K40">
        <v>29</v>
      </c>
      <c r="L40">
        <v>91</v>
      </c>
      <c r="M40">
        <f t="shared" si="9"/>
        <v>1.1613631084713143</v>
      </c>
      <c r="N40">
        <v>36</v>
      </c>
      <c r="O40" s="1">
        <v>30261176</v>
      </c>
      <c r="P40">
        <f t="shared" si="10"/>
        <v>0.3532504031053823</v>
      </c>
      <c r="Q40">
        <v>29</v>
      </c>
      <c r="R40" s="1">
        <v>1200</v>
      </c>
      <c r="S40">
        <v>36</v>
      </c>
      <c r="T40">
        <f t="shared" si="11"/>
        <v>0.15314678353467881</v>
      </c>
      <c r="U40" s="3">
        <v>85664944</v>
      </c>
      <c r="V40" s="1">
        <v>783562</v>
      </c>
      <c r="W40" s="1">
        <v>29879</v>
      </c>
    </row>
    <row r="41" spans="1:23">
      <c r="A41">
        <v>2</v>
      </c>
      <c r="B41" t="s">
        <v>86</v>
      </c>
      <c r="C41" s="8">
        <v>2.2999999999999998</v>
      </c>
      <c r="D41">
        <v>81.2</v>
      </c>
      <c r="E41">
        <v>31</v>
      </c>
      <c r="F41">
        <f t="shared" si="6"/>
        <v>19.548500000000001</v>
      </c>
      <c r="G41">
        <f t="shared" si="7"/>
        <v>1.5037307692307693</v>
      </c>
      <c r="H41">
        <v>35</v>
      </c>
      <c r="I41" s="1">
        <v>16998</v>
      </c>
      <c r="J41">
        <f t="shared" si="8"/>
        <v>1.3075384615384615</v>
      </c>
      <c r="K41">
        <v>34</v>
      </c>
      <c r="L41">
        <v>140</v>
      </c>
      <c r="M41">
        <f t="shared" si="9"/>
        <v>1.0769230769230769</v>
      </c>
      <c r="N41">
        <v>40</v>
      </c>
      <c r="O41" s="1">
        <v>15963000</v>
      </c>
      <c r="P41">
        <f t="shared" si="10"/>
        <v>0.18570049208361933</v>
      </c>
      <c r="Q41">
        <v>37</v>
      </c>
      <c r="R41" s="1">
        <v>850</v>
      </c>
      <c r="S41">
        <v>38</v>
      </c>
      <c r="T41">
        <f t="shared" si="11"/>
        <v>6.5384615384615388E-2</v>
      </c>
      <c r="U41" s="3">
        <v>85961000</v>
      </c>
      <c r="V41" s="1">
        <v>1300000</v>
      </c>
      <c r="W41" s="1">
        <v>195485</v>
      </c>
    </row>
    <row r="42" spans="1:23">
      <c r="A42">
        <v>2</v>
      </c>
      <c r="B42" t="s">
        <v>103</v>
      </c>
      <c r="C42" s="8">
        <v>3</v>
      </c>
      <c r="D42">
        <v>79.599999999999994</v>
      </c>
      <c r="E42">
        <v>34</v>
      </c>
      <c r="F42">
        <f t="shared" si="6"/>
        <v>32.918900000000001</v>
      </c>
      <c r="G42">
        <f t="shared" si="7"/>
        <v>2.1945933333333332</v>
      </c>
      <c r="H42">
        <v>33</v>
      </c>
      <c r="I42" s="1">
        <v>8260</v>
      </c>
      <c r="J42">
        <f t="shared" si="8"/>
        <v>0.55066666666666664</v>
      </c>
      <c r="K42">
        <v>46</v>
      </c>
      <c r="L42">
        <v>186</v>
      </c>
      <c r="M42">
        <f t="shared" si="9"/>
        <v>1.24</v>
      </c>
      <c r="N42">
        <v>33</v>
      </c>
      <c r="O42" s="1">
        <v>23050000</v>
      </c>
      <c r="P42">
        <f t="shared" si="10"/>
        <v>8.1036769451501872E-2</v>
      </c>
      <c r="Q42">
        <v>46</v>
      </c>
      <c r="R42" s="1">
        <v>21579</v>
      </c>
      <c r="S42">
        <v>14</v>
      </c>
      <c r="T42">
        <f t="shared" si="11"/>
        <v>1.4386000000000001</v>
      </c>
      <c r="U42" s="3">
        <v>284438782</v>
      </c>
      <c r="V42" s="1">
        <v>1500000</v>
      </c>
      <c r="W42" s="1">
        <v>329189</v>
      </c>
    </row>
    <row r="43" spans="1:23">
      <c r="A43">
        <v>2</v>
      </c>
      <c r="B43" t="s">
        <v>96</v>
      </c>
      <c r="C43" s="8">
        <v>2.9</v>
      </c>
      <c r="D43">
        <v>72.5</v>
      </c>
      <c r="E43">
        <v>41</v>
      </c>
      <c r="F43">
        <f t="shared" si="6"/>
        <v>17.552600000000002</v>
      </c>
      <c r="G43">
        <f t="shared" si="7"/>
        <v>1.1701733333333333</v>
      </c>
      <c r="H43">
        <v>38</v>
      </c>
      <c r="I43" s="1">
        <v>23389</v>
      </c>
      <c r="J43">
        <f t="shared" si="8"/>
        <v>1.5592666666666666</v>
      </c>
      <c r="K43">
        <v>32</v>
      </c>
      <c r="L43">
        <v>243</v>
      </c>
      <c r="M43">
        <f t="shared" si="9"/>
        <v>1.62</v>
      </c>
      <c r="N43">
        <v>29</v>
      </c>
      <c r="O43" s="1">
        <v>58199293</v>
      </c>
      <c r="P43">
        <f t="shared" si="10"/>
        <v>0.44571275259258253</v>
      </c>
      <c r="Q43">
        <v>25</v>
      </c>
      <c r="R43" s="1">
        <v>2900</v>
      </c>
      <c r="S43">
        <v>35</v>
      </c>
      <c r="T43">
        <f t="shared" si="11"/>
        <v>0.19333333333333333</v>
      </c>
      <c r="U43" s="3">
        <v>130575786</v>
      </c>
      <c r="V43" s="1">
        <v>1500000</v>
      </c>
      <c r="W43" s="1">
        <v>175526</v>
      </c>
    </row>
    <row r="44" spans="1:23">
      <c r="A44">
        <v>1</v>
      </c>
      <c r="B44" t="s">
        <v>73</v>
      </c>
      <c r="C44" s="8">
        <v>2.5</v>
      </c>
      <c r="D44">
        <v>75.400000000000006</v>
      </c>
      <c r="E44">
        <v>39</v>
      </c>
      <c r="F44">
        <f t="shared" si="6"/>
        <v>11.7</v>
      </c>
      <c r="G44">
        <f t="shared" si="7"/>
        <v>2.9249999999999998</v>
      </c>
      <c r="H44">
        <v>28</v>
      </c>
      <c r="I44" s="1">
        <v>4560</v>
      </c>
      <c r="J44">
        <f t="shared" si="8"/>
        <v>1.1399999999999999</v>
      </c>
      <c r="K44">
        <v>35</v>
      </c>
      <c r="L44">
        <v>67</v>
      </c>
      <c r="M44">
        <f t="shared" si="9"/>
        <v>1.675</v>
      </c>
      <c r="N44">
        <v>28</v>
      </c>
      <c r="O44" s="1">
        <v>7731664</v>
      </c>
      <c r="P44">
        <f t="shared" si="10"/>
        <v>0.16311527426160338</v>
      </c>
      <c r="Q44">
        <v>40</v>
      </c>
      <c r="R44" s="1">
        <v>0</v>
      </c>
      <c r="S44">
        <v>49</v>
      </c>
      <c r="T44">
        <f t="shared" si="11"/>
        <v>0</v>
      </c>
      <c r="U44" s="3">
        <v>47400000</v>
      </c>
      <c r="V44" s="1">
        <v>400000</v>
      </c>
      <c r="W44" s="1">
        <v>117000</v>
      </c>
    </row>
    <row r="45" spans="1:23">
      <c r="A45">
        <v>1</v>
      </c>
      <c r="B45" t="s">
        <v>76</v>
      </c>
      <c r="C45" s="8">
        <v>2</v>
      </c>
      <c r="D45">
        <v>0</v>
      </c>
      <c r="E45">
        <v>50</v>
      </c>
      <c r="F45">
        <f t="shared" si="6"/>
        <v>7.2400000000000006E-2</v>
      </c>
      <c r="G45">
        <f t="shared" si="7"/>
        <v>6.0064046192901822E-2</v>
      </c>
      <c r="H45">
        <v>50</v>
      </c>
      <c r="I45" s="1">
        <v>5735</v>
      </c>
      <c r="J45">
        <f t="shared" si="8"/>
        <v>4.7578357032637006</v>
      </c>
      <c r="K45">
        <v>18</v>
      </c>
      <c r="L45">
        <v>39</v>
      </c>
      <c r="M45">
        <f t="shared" si="9"/>
        <v>3.235494200998855</v>
      </c>
      <c r="N45">
        <v>20</v>
      </c>
      <c r="O45" s="1">
        <v>30000</v>
      </c>
      <c r="P45">
        <f t="shared" si="10"/>
        <v>1.153846153846154E-3</v>
      </c>
      <c r="Q45">
        <v>50</v>
      </c>
      <c r="R45" s="1">
        <v>2250</v>
      </c>
      <c r="S45">
        <v>10</v>
      </c>
      <c r="T45">
        <f t="shared" si="11"/>
        <v>1.8666312698070318</v>
      </c>
      <c r="U45" s="3">
        <v>26000000</v>
      </c>
      <c r="V45" s="1">
        <v>120538</v>
      </c>
      <c r="W45" s="1">
        <v>724</v>
      </c>
    </row>
    <row r="46" spans="1:23">
      <c r="A46">
        <v>2</v>
      </c>
      <c r="B46" t="s">
        <v>94</v>
      </c>
      <c r="C46" s="8">
        <v>3.3</v>
      </c>
      <c r="D46">
        <v>67.2</v>
      </c>
      <c r="E46">
        <v>43</v>
      </c>
      <c r="F46">
        <f t="shared" si="6"/>
        <v>6.1093000000000002</v>
      </c>
      <c r="G46">
        <f t="shared" si="7"/>
        <v>2.0364333333333335</v>
      </c>
      <c r="H46">
        <v>34</v>
      </c>
      <c r="I46" s="1">
        <v>532</v>
      </c>
      <c r="J46">
        <f t="shared" si="8"/>
        <v>0.17733333333333334</v>
      </c>
      <c r="K46">
        <v>49</v>
      </c>
      <c r="L46">
        <v>89</v>
      </c>
      <c r="M46">
        <f t="shared" si="9"/>
        <v>2.9666666666666668</v>
      </c>
      <c r="N46">
        <v>21</v>
      </c>
      <c r="O46" s="1">
        <v>20465515</v>
      </c>
      <c r="P46">
        <f t="shared" si="10"/>
        <v>0.17932763249669656</v>
      </c>
      <c r="Q46">
        <v>38</v>
      </c>
      <c r="R46" s="1">
        <v>3219</v>
      </c>
      <c r="S46">
        <v>17</v>
      </c>
      <c r="T46">
        <f t="shared" si="11"/>
        <v>1.073</v>
      </c>
      <c r="U46" s="3">
        <v>114123600</v>
      </c>
      <c r="V46" s="1">
        <v>300000</v>
      </c>
      <c r="W46" s="1">
        <v>61093</v>
      </c>
    </row>
    <row r="47" spans="1:23">
      <c r="A47">
        <v>1</v>
      </c>
      <c r="B47" t="s">
        <v>71</v>
      </c>
      <c r="C47" s="8">
        <v>2.4</v>
      </c>
      <c r="D47">
        <v>69</v>
      </c>
      <c r="E47">
        <v>42</v>
      </c>
      <c r="F47">
        <f t="shared" si="6"/>
        <v>3.84</v>
      </c>
      <c r="G47">
        <f t="shared" si="7"/>
        <v>1.0971428571428572</v>
      </c>
      <c r="H47">
        <v>39</v>
      </c>
      <c r="I47" s="1">
        <v>2032</v>
      </c>
      <c r="J47">
        <f t="shared" si="8"/>
        <v>0.58057142857142852</v>
      </c>
      <c r="K47">
        <v>45</v>
      </c>
      <c r="L47">
        <v>72</v>
      </c>
      <c r="M47">
        <f t="shared" si="9"/>
        <v>2.0571428571428569</v>
      </c>
      <c r="N47">
        <v>25</v>
      </c>
      <c r="O47" s="1">
        <v>4715000</v>
      </c>
      <c r="P47">
        <f t="shared" si="10"/>
        <v>0.10362637362637363</v>
      </c>
      <c r="Q47">
        <v>44</v>
      </c>
      <c r="R47" s="1">
        <v>5279</v>
      </c>
      <c r="S47">
        <v>13</v>
      </c>
      <c r="T47">
        <f t="shared" si="11"/>
        <v>1.5082857142857142</v>
      </c>
      <c r="U47" s="3">
        <v>45500000</v>
      </c>
      <c r="V47" s="1">
        <v>350000</v>
      </c>
      <c r="W47" s="1">
        <v>38400</v>
      </c>
    </row>
    <row r="48" spans="1:23">
      <c r="A48">
        <v>2</v>
      </c>
      <c r="B48" t="s">
        <v>72</v>
      </c>
      <c r="C48" s="8">
        <v>2.54</v>
      </c>
      <c r="D48">
        <v>81.900000000000006</v>
      </c>
      <c r="E48">
        <v>29</v>
      </c>
      <c r="F48">
        <f t="shared" si="6"/>
        <v>4.524</v>
      </c>
      <c r="G48">
        <f t="shared" si="7"/>
        <v>1.2925714285714285</v>
      </c>
      <c r="H48">
        <v>37</v>
      </c>
      <c r="I48" s="1">
        <v>2109</v>
      </c>
      <c r="J48">
        <f t="shared" si="8"/>
        <v>0.60257142857142854</v>
      </c>
      <c r="K48">
        <v>44</v>
      </c>
      <c r="L48">
        <v>36</v>
      </c>
      <c r="M48">
        <f t="shared" si="9"/>
        <v>1.0285714285714285</v>
      </c>
      <c r="N48">
        <v>43</v>
      </c>
      <c r="O48" s="1">
        <v>4120000</v>
      </c>
      <c r="P48">
        <f t="shared" si="10"/>
        <v>0.10899470899470899</v>
      </c>
      <c r="Q48">
        <v>43</v>
      </c>
      <c r="R48" s="1">
        <v>0</v>
      </c>
      <c r="S48">
        <v>48</v>
      </c>
      <c r="T48">
        <f t="shared" si="11"/>
        <v>0</v>
      </c>
      <c r="U48" s="3">
        <v>37800000</v>
      </c>
      <c r="V48" s="1">
        <v>350000</v>
      </c>
      <c r="W48" s="1">
        <v>45240</v>
      </c>
    </row>
    <row r="49" spans="1:23">
      <c r="A49">
        <v>2</v>
      </c>
      <c r="B49" t="s">
        <v>101</v>
      </c>
      <c r="C49" s="8">
        <v>3.2</v>
      </c>
      <c r="D49">
        <v>77.099999999999994</v>
      </c>
      <c r="E49">
        <v>38</v>
      </c>
      <c r="F49">
        <f t="shared" si="6"/>
        <v>21.4</v>
      </c>
      <c r="G49">
        <f t="shared" si="7"/>
        <v>0.32923076923076922</v>
      </c>
      <c r="H49">
        <v>48</v>
      </c>
      <c r="I49" s="1">
        <v>29817</v>
      </c>
      <c r="J49">
        <f t="shared" si="8"/>
        <v>0.4587230769230769</v>
      </c>
      <c r="K49">
        <v>47</v>
      </c>
      <c r="L49">
        <v>698</v>
      </c>
      <c r="M49">
        <f t="shared" si="9"/>
        <v>1.0738461538461539</v>
      </c>
      <c r="N49">
        <v>41</v>
      </c>
      <c r="O49" s="1">
        <v>93867016</v>
      </c>
      <c r="P49">
        <f t="shared" si="10"/>
        <v>0.4398208223493919</v>
      </c>
      <c r="Q49">
        <v>26</v>
      </c>
      <c r="R49" s="1">
        <v>50000</v>
      </c>
      <c r="S49">
        <v>24</v>
      </c>
      <c r="T49">
        <f t="shared" si="11"/>
        <v>0.76923076923076927</v>
      </c>
      <c r="U49" s="3">
        <v>213421037</v>
      </c>
      <c r="V49" s="1">
        <v>6500000</v>
      </c>
      <c r="W49" s="1">
        <v>214000</v>
      </c>
    </row>
    <row r="50" spans="1:23" ht="13.5" customHeight="1">
      <c r="A50">
        <v>1</v>
      </c>
      <c r="B50" t="s">
        <v>100</v>
      </c>
      <c r="C50" s="8">
        <v>2.42</v>
      </c>
      <c r="D50">
        <v>36.700000000000003</v>
      </c>
      <c r="E50">
        <v>48</v>
      </c>
      <c r="F50">
        <f t="shared" si="6"/>
        <v>18.546299999999999</v>
      </c>
      <c r="G50">
        <f t="shared" si="7"/>
        <v>2.4728400000000001</v>
      </c>
      <c r="H50">
        <v>31</v>
      </c>
      <c r="I50" s="1">
        <v>7791</v>
      </c>
      <c r="J50">
        <f t="shared" si="8"/>
        <v>1.0387999999999999</v>
      </c>
      <c r="K50">
        <v>37</v>
      </c>
      <c r="L50">
        <v>108</v>
      </c>
      <c r="M50">
        <f t="shared" si="9"/>
        <v>1.44</v>
      </c>
      <c r="N50">
        <v>31</v>
      </c>
      <c r="O50" s="1">
        <v>30000000</v>
      </c>
      <c r="P50">
        <f t="shared" si="10"/>
        <v>0.12422389516934307</v>
      </c>
      <c r="Q50">
        <v>42</v>
      </c>
      <c r="R50" s="1">
        <v>0.1</v>
      </c>
      <c r="S50">
        <v>43</v>
      </c>
      <c r="T50">
        <f t="shared" si="11"/>
        <v>1.3333333333333333E-5</v>
      </c>
      <c r="U50" s="3">
        <v>241499431</v>
      </c>
      <c r="V50" s="1">
        <v>750000</v>
      </c>
      <c r="W50" s="1">
        <v>185463</v>
      </c>
    </row>
    <row r="51" spans="1:23">
      <c r="A51">
        <v>1</v>
      </c>
      <c r="B51" t="s">
        <v>84</v>
      </c>
      <c r="C51" s="8">
        <v>2.9</v>
      </c>
      <c r="D51">
        <v>63.3</v>
      </c>
      <c r="E51">
        <v>45</v>
      </c>
      <c r="F51">
        <f t="shared" si="6"/>
        <v>3.2280000000000002</v>
      </c>
      <c r="G51">
        <f t="shared" si="7"/>
        <v>0.32279999999999998</v>
      </c>
      <c r="H51">
        <v>49</v>
      </c>
      <c r="I51" s="1">
        <v>1663</v>
      </c>
      <c r="J51">
        <f t="shared" si="8"/>
        <v>0.1663</v>
      </c>
      <c r="K51">
        <v>50</v>
      </c>
      <c r="L51">
        <v>121</v>
      </c>
      <c r="M51">
        <f t="shared" si="9"/>
        <v>1.21</v>
      </c>
      <c r="N51">
        <v>35</v>
      </c>
      <c r="O51" s="1">
        <v>13477996</v>
      </c>
      <c r="P51">
        <f t="shared" si="10"/>
        <v>0.25402759572063455</v>
      </c>
      <c r="Q51">
        <v>33</v>
      </c>
      <c r="R51" s="1">
        <v>24725</v>
      </c>
      <c r="S51">
        <v>7</v>
      </c>
      <c r="T51">
        <f t="shared" si="11"/>
        <v>2.4725000000000001</v>
      </c>
      <c r="U51" s="3">
        <v>53057212</v>
      </c>
      <c r="V51" s="1">
        <v>1000000</v>
      </c>
      <c r="W51" s="1">
        <v>32280</v>
      </c>
    </row>
    <row r="52" spans="1:23">
      <c r="A52">
        <v>1</v>
      </c>
      <c r="B52" t="s">
        <v>102</v>
      </c>
      <c r="C52" s="8">
        <v>2.6</v>
      </c>
      <c r="D52">
        <v>34.9</v>
      </c>
      <c r="E52">
        <v>49</v>
      </c>
      <c r="F52">
        <f t="shared" si="6"/>
        <v>6</v>
      </c>
      <c r="G52">
        <f t="shared" si="7"/>
        <v>0.64951373072026741</v>
      </c>
      <c r="H52">
        <v>44</v>
      </c>
      <c r="I52" s="1">
        <v>3600</v>
      </c>
      <c r="J52">
        <f t="shared" si="8"/>
        <v>0.38970823843216046</v>
      </c>
      <c r="K52">
        <v>48</v>
      </c>
      <c r="L52">
        <v>40</v>
      </c>
      <c r="M52">
        <f t="shared" si="9"/>
        <v>0.43300915381351163</v>
      </c>
      <c r="N52">
        <v>50</v>
      </c>
      <c r="O52" s="1">
        <v>13500000</v>
      </c>
      <c r="P52">
        <f t="shared" si="10"/>
        <v>6.0321715817694369E-2</v>
      </c>
      <c r="Q52">
        <v>47</v>
      </c>
      <c r="R52" s="1">
        <v>8600</v>
      </c>
      <c r="S52">
        <v>20</v>
      </c>
      <c r="T52">
        <f t="shared" si="11"/>
        <v>0.93096968069904995</v>
      </c>
      <c r="U52" s="3">
        <v>223800000</v>
      </c>
      <c r="V52" s="1">
        <v>923768</v>
      </c>
      <c r="W52" s="1">
        <v>60000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5FBAC-C5AB-43C5-B77D-2859EF50BB11}">
  <dimension ref="A1:R52"/>
  <sheetViews>
    <sheetView workbookViewId="0">
      <selection sqref="A1:O1"/>
    </sheetView>
  </sheetViews>
  <sheetFormatPr defaultRowHeight="13.9"/>
  <cols>
    <col min="3" max="3" width="5.796875" style="1" customWidth="1"/>
    <col min="4" max="4" width="8.6640625" style="1"/>
    <col min="5" max="5" width="5.796875" style="1" customWidth="1"/>
    <col min="6" max="6" width="8.6640625" style="1"/>
    <col min="7" max="7" width="5.796875" style="1" customWidth="1"/>
    <col min="8" max="9" width="8.6640625" style="1"/>
    <col min="10" max="10" width="5.796875" style="1" customWidth="1"/>
    <col min="12" max="12" width="9.796875" customWidth="1"/>
    <col min="13" max="13" width="5.796875" style="1" customWidth="1"/>
    <col min="15" max="15" width="14.06640625" customWidth="1"/>
    <col min="16" max="18" width="7.59765625" customWidth="1"/>
  </cols>
  <sheetData>
    <row r="1" spans="1:18" s="13" customFormat="1">
      <c r="A1" s="15" t="s">
        <v>249</v>
      </c>
      <c r="B1" s="15" t="s">
        <v>196</v>
      </c>
      <c r="C1" s="15"/>
      <c r="D1" s="15" t="s">
        <v>250</v>
      </c>
      <c r="E1" s="15"/>
      <c r="F1" s="15" t="s">
        <v>251</v>
      </c>
      <c r="G1" s="15"/>
      <c r="H1" s="15" t="s">
        <v>252</v>
      </c>
      <c r="I1" s="15" t="s">
        <v>253</v>
      </c>
      <c r="J1" s="15"/>
      <c r="K1" s="15" t="s">
        <v>254</v>
      </c>
      <c r="L1" s="15" t="s">
        <v>255</v>
      </c>
      <c r="M1" s="15"/>
      <c r="N1" s="15" t="s">
        <v>256</v>
      </c>
      <c r="O1" s="15" t="s">
        <v>257</v>
      </c>
      <c r="P1" s="13" t="s">
        <v>193</v>
      </c>
      <c r="Q1" s="13" t="s">
        <v>155</v>
      </c>
      <c r="R1" s="13" t="s">
        <v>156</v>
      </c>
    </row>
    <row r="2" spans="1:18">
      <c r="A2">
        <v>5</v>
      </c>
      <c r="B2" t="s">
        <v>74</v>
      </c>
      <c r="C2">
        <v>-1</v>
      </c>
      <c r="D2">
        <v>87.6</v>
      </c>
      <c r="E2">
        <v>-1</v>
      </c>
      <c r="F2">
        <v>0.79300000000000004</v>
      </c>
      <c r="G2"/>
      <c r="H2">
        <v>2.13</v>
      </c>
      <c r="I2" s="1">
        <v>31.2</v>
      </c>
      <c r="J2"/>
      <c r="K2" s="1">
        <f t="shared" ref="K2:K33" si="0">(I2*1000000-O2)*10/O2</f>
        <v>1.3868559113457355</v>
      </c>
      <c r="L2">
        <v>14912000</v>
      </c>
      <c r="M2"/>
      <c r="N2">
        <f t="shared" ref="N2:N33" si="1">L2*100/O2</f>
        <v>54.423331842944748</v>
      </c>
      <c r="O2" s="7">
        <v>27400013</v>
      </c>
      <c r="P2">
        <v>-1</v>
      </c>
      <c r="Q2" s="1">
        <v>-1</v>
      </c>
      <c r="R2" s="1">
        <v>-1</v>
      </c>
    </row>
    <row r="3" spans="1:18">
      <c r="A3">
        <v>5</v>
      </c>
      <c r="B3" t="s">
        <v>64</v>
      </c>
      <c r="C3"/>
      <c r="D3">
        <v>69.47</v>
      </c>
      <c r="E3"/>
      <c r="F3">
        <v>0.49199999999999999</v>
      </c>
      <c r="G3"/>
      <c r="H3">
        <v>1.9000000000000004</v>
      </c>
      <c r="I3" s="1">
        <v>9.5</v>
      </c>
      <c r="J3"/>
      <c r="K3" s="1">
        <f t="shared" si="0"/>
        <v>0.32504210715198278</v>
      </c>
      <c r="L3">
        <v>4768000</v>
      </c>
      <c r="M3"/>
      <c r="N3">
        <f t="shared" si="1"/>
        <v>51.820842912527006</v>
      </c>
      <c r="O3" s="7">
        <v>9200931</v>
      </c>
      <c r="P3">
        <v>-1</v>
      </c>
      <c r="Q3" s="1"/>
      <c r="R3" s="1"/>
    </row>
    <row r="4" spans="1:18">
      <c r="A4">
        <v>5</v>
      </c>
      <c r="B4" t="s">
        <v>101</v>
      </c>
      <c r="C4"/>
      <c r="D4">
        <v>87.9</v>
      </c>
      <c r="E4"/>
      <c r="F4">
        <v>-0.52100000000000002</v>
      </c>
      <c r="G4"/>
      <c r="H4">
        <v>5.8000000000000007</v>
      </c>
      <c r="I4" s="1">
        <v>218.2</v>
      </c>
      <c r="J4"/>
      <c r="K4" s="1">
        <f t="shared" si="0"/>
        <v>0.22392183390993456</v>
      </c>
      <c r="L4">
        <v>106790000</v>
      </c>
      <c r="M4"/>
      <c r="N4">
        <f t="shared" si="1"/>
        <v>50.037241642678367</v>
      </c>
      <c r="O4" s="7">
        <v>213421037</v>
      </c>
      <c r="P4">
        <v>-1</v>
      </c>
      <c r="Q4" s="1">
        <v>-1</v>
      </c>
      <c r="R4" s="1"/>
    </row>
    <row r="5" spans="1:18">
      <c r="A5">
        <v>5</v>
      </c>
      <c r="B5" t="s">
        <v>106</v>
      </c>
      <c r="C5"/>
      <c r="D5">
        <v>65.89</v>
      </c>
      <c r="E5"/>
      <c r="F5">
        <v>-0.153</v>
      </c>
      <c r="G5"/>
      <c r="H5">
        <v>2.59</v>
      </c>
      <c r="I5" s="1">
        <v>1363.1</v>
      </c>
      <c r="J5">
        <v>1</v>
      </c>
      <c r="K5" s="1">
        <f t="shared" si="0"/>
        <v>-0.32081688300622035</v>
      </c>
      <c r="L5">
        <v>773880000</v>
      </c>
      <c r="M5"/>
      <c r="N5">
        <f t="shared" si="1"/>
        <v>54.952140199392169</v>
      </c>
      <c r="O5" s="7">
        <v>1408280000</v>
      </c>
      <c r="Q5" s="1">
        <v>-1</v>
      </c>
      <c r="R5" s="1"/>
    </row>
    <row r="6" spans="1:18">
      <c r="A6">
        <v>5</v>
      </c>
      <c r="B6" t="s">
        <v>60</v>
      </c>
      <c r="C6"/>
      <c r="D6">
        <v>88.7</v>
      </c>
      <c r="E6">
        <v>-1</v>
      </c>
      <c r="F6">
        <v>0.76900000000000002</v>
      </c>
      <c r="G6"/>
      <c r="H6">
        <v>1.0899999999999999</v>
      </c>
      <c r="I6" s="1">
        <v>6.1</v>
      </c>
      <c r="J6"/>
      <c r="K6" s="1">
        <f t="shared" si="0"/>
        <v>0.15931470925540217</v>
      </c>
      <c r="L6">
        <v>3210000</v>
      </c>
      <c r="M6"/>
      <c r="N6">
        <f t="shared" si="1"/>
        <v>53.461311830671868</v>
      </c>
      <c r="O6" s="7">
        <v>6004342</v>
      </c>
      <c r="P6">
        <v>-1</v>
      </c>
      <c r="Q6" s="1"/>
      <c r="R6" s="1">
        <v>-1</v>
      </c>
    </row>
    <row r="7" spans="1:18">
      <c r="A7">
        <v>5</v>
      </c>
      <c r="B7" t="s">
        <v>93</v>
      </c>
      <c r="C7"/>
      <c r="D7">
        <v>82.02</v>
      </c>
      <c r="E7"/>
      <c r="F7">
        <v>0.124</v>
      </c>
      <c r="G7"/>
      <c r="H7">
        <v>1.4300000000000002</v>
      </c>
      <c r="I7" s="1">
        <v>87.6</v>
      </c>
      <c r="J7"/>
      <c r="K7" s="1">
        <f t="shared" si="0"/>
        <v>0.48887873527111775</v>
      </c>
      <c r="L7">
        <v>43772000</v>
      </c>
      <c r="M7"/>
      <c r="N7">
        <f t="shared" si="1"/>
        <v>52.410867579941481</v>
      </c>
      <c r="O7" s="7">
        <v>83517030</v>
      </c>
      <c r="Q7" s="1"/>
      <c r="R7" s="1">
        <v>-1</v>
      </c>
    </row>
    <row r="8" spans="1:18">
      <c r="A8">
        <v>5</v>
      </c>
      <c r="B8" t="s">
        <v>59</v>
      </c>
      <c r="C8"/>
      <c r="D8">
        <v>83.33</v>
      </c>
      <c r="E8">
        <v>-1</v>
      </c>
      <c r="F8">
        <v>0.90300000000000002</v>
      </c>
      <c r="G8"/>
      <c r="H8">
        <v>2.12</v>
      </c>
      <c r="I8" s="1">
        <v>5.8</v>
      </c>
      <c r="J8"/>
      <c r="K8" s="1">
        <f t="shared" si="0"/>
        <v>0.34431590542013618</v>
      </c>
      <c r="L8">
        <v>3042000</v>
      </c>
      <c r="M8"/>
      <c r="N8">
        <f t="shared" si="1"/>
        <v>54.254153421186302</v>
      </c>
      <c r="O8" s="7">
        <v>5606944</v>
      </c>
      <c r="Q8" s="1"/>
      <c r="R8" s="1">
        <v>-1</v>
      </c>
    </row>
    <row r="9" spans="1:18" ht="13.05" customHeight="1">
      <c r="A9">
        <v>5</v>
      </c>
      <c r="B9" t="s">
        <v>67</v>
      </c>
      <c r="C9">
        <v>-1</v>
      </c>
      <c r="D9">
        <v>88.86</v>
      </c>
      <c r="E9"/>
      <c r="F9">
        <v>0.60399999999999998</v>
      </c>
      <c r="G9"/>
      <c r="H9">
        <v>1.2200000000000002</v>
      </c>
      <c r="I9" s="1">
        <v>10.9</v>
      </c>
      <c r="J9"/>
      <c r="K9" s="1">
        <f t="shared" si="0"/>
        <v>0.28626777589751934</v>
      </c>
      <c r="L9">
        <v>5699000</v>
      </c>
      <c r="M9"/>
      <c r="N9">
        <f t="shared" si="1"/>
        <v>53.781137664990794</v>
      </c>
      <c r="O9" s="7">
        <v>10596652</v>
      </c>
      <c r="Q9" s="1"/>
      <c r="R9" s="1">
        <v>-1</v>
      </c>
    </row>
    <row r="10" spans="1:18">
      <c r="A10">
        <v>5</v>
      </c>
      <c r="B10" t="s">
        <v>65</v>
      </c>
      <c r="C10"/>
      <c r="D10">
        <v>85.46</v>
      </c>
      <c r="E10">
        <v>-1</v>
      </c>
      <c r="F10">
        <v>0.98099999999999998</v>
      </c>
      <c r="G10">
        <v>1</v>
      </c>
      <c r="H10">
        <v>3.0000000000000006E-2</v>
      </c>
      <c r="I10" s="1">
        <v>9.8000000000000007</v>
      </c>
      <c r="J10"/>
      <c r="K10" s="1">
        <f t="shared" si="0"/>
        <v>0.78956732513854688</v>
      </c>
      <c r="L10">
        <v>5153000</v>
      </c>
      <c r="M10"/>
      <c r="N10">
        <f t="shared" si="1"/>
        <v>56.733306557590744</v>
      </c>
      <c r="O10" s="7">
        <v>9082848</v>
      </c>
      <c r="P10">
        <v>-1</v>
      </c>
      <c r="Q10" s="1"/>
      <c r="R10" s="1">
        <v>-1</v>
      </c>
    </row>
    <row r="11" spans="1:18">
      <c r="A11">
        <v>4.5</v>
      </c>
      <c r="B11" t="s">
        <v>185</v>
      </c>
      <c r="C11"/>
      <c r="D11">
        <v>75</v>
      </c>
      <c r="E11"/>
      <c r="F11">
        <v>0.3</v>
      </c>
      <c r="G11"/>
      <c r="H11">
        <v>2.72</v>
      </c>
      <c r="I11">
        <v>452.5</v>
      </c>
      <c r="J11"/>
      <c r="K11" s="1">
        <f t="shared" si="0"/>
        <v>4.1119304449957129E-2</v>
      </c>
      <c r="L11">
        <v>221389600</v>
      </c>
      <c r="M11"/>
      <c r="N11">
        <f t="shared" si="1"/>
        <v>49.127058262197885</v>
      </c>
      <c r="O11" s="7">
        <v>450646971</v>
      </c>
    </row>
    <row r="12" spans="1:18">
      <c r="A12">
        <v>4</v>
      </c>
      <c r="B12" t="s">
        <v>80</v>
      </c>
      <c r="C12">
        <v>-1</v>
      </c>
      <c r="D12">
        <v>92.27</v>
      </c>
      <c r="E12"/>
      <c r="F12">
        <v>-0.17</v>
      </c>
      <c r="G12">
        <v>1</v>
      </c>
      <c r="H12">
        <v>25.439999999999998</v>
      </c>
      <c r="I12" s="1">
        <v>48.7</v>
      </c>
      <c r="J12"/>
      <c r="K12" s="1">
        <f t="shared" si="0"/>
        <v>0.34681130503226199</v>
      </c>
      <c r="L12">
        <v>22286000</v>
      </c>
      <c r="M12"/>
      <c r="N12">
        <f t="shared" si="1"/>
        <v>47.348878181509036</v>
      </c>
      <c r="O12" s="7">
        <v>47067641</v>
      </c>
      <c r="Q12" s="1">
        <v>-1</v>
      </c>
      <c r="R12" s="1"/>
    </row>
    <row r="13" spans="1:18">
      <c r="A13">
        <v>4</v>
      </c>
      <c r="B13" t="s">
        <v>66</v>
      </c>
      <c r="C13"/>
      <c r="D13">
        <v>87.61</v>
      </c>
      <c r="E13"/>
      <c r="F13">
        <v>0.121</v>
      </c>
      <c r="G13"/>
      <c r="H13">
        <v>1.8200000000000003</v>
      </c>
      <c r="I13" s="1">
        <v>12.2</v>
      </c>
      <c r="J13"/>
      <c r="K13" s="1">
        <f t="shared" si="0"/>
        <v>0.31664401937803999</v>
      </c>
      <c r="L13">
        <v>5416000</v>
      </c>
      <c r="M13"/>
      <c r="N13">
        <f t="shared" si="1"/>
        <v>45.799134433566778</v>
      </c>
      <c r="O13" s="7">
        <v>11825551</v>
      </c>
      <c r="P13">
        <v>-1</v>
      </c>
      <c r="Q13" s="1">
        <v>1</v>
      </c>
      <c r="R13" s="1">
        <v>-1</v>
      </c>
    </row>
    <row r="14" spans="1:18">
      <c r="A14">
        <v>5</v>
      </c>
      <c r="B14" t="s">
        <v>81</v>
      </c>
      <c r="C14"/>
      <c r="D14">
        <v>82.7</v>
      </c>
      <c r="E14"/>
      <c r="F14">
        <v>0.59799999999999998</v>
      </c>
      <c r="G14"/>
      <c r="H14">
        <v>1.7299999999999998</v>
      </c>
      <c r="I14" s="1">
        <v>42.8</v>
      </c>
      <c r="J14"/>
      <c r="K14" s="1">
        <f t="shared" si="0"/>
        <v>0.30114308752262731</v>
      </c>
      <c r="L14">
        <v>22868000</v>
      </c>
      <c r="M14"/>
      <c r="N14">
        <f t="shared" si="1"/>
        <v>55.038911244268093</v>
      </c>
      <c r="O14" s="7">
        <v>41548787</v>
      </c>
      <c r="Q14" s="1"/>
      <c r="R14" s="1"/>
    </row>
    <row r="15" spans="1:18">
      <c r="A15">
        <v>4</v>
      </c>
      <c r="B15" t="s">
        <v>69</v>
      </c>
      <c r="C15">
        <v>-1</v>
      </c>
      <c r="D15">
        <v>89</v>
      </c>
      <c r="E15"/>
      <c r="F15">
        <v>0.121</v>
      </c>
      <c r="G15"/>
      <c r="H15">
        <v>2.91</v>
      </c>
      <c r="I15" s="1">
        <v>21.1</v>
      </c>
      <c r="J15"/>
      <c r="K15" s="1">
        <f t="shared" si="0"/>
        <v>0.44195035243561959</v>
      </c>
      <c r="L15">
        <v>10088000</v>
      </c>
      <c r="M15"/>
      <c r="N15">
        <f t="shared" si="1"/>
        <v>49.92341002624196</v>
      </c>
      <c r="O15" s="7">
        <v>20206953</v>
      </c>
      <c r="P15">
        <v>-1</v>
      </c>
      <c r="Q15" s="1">
        <v>1</v>
      </c>
      <c r="R15" s="1"/>
    </row>
    <row r="16" spans="1:18">
      <c r="A16">
        <v>4</v>
      </c>
      <c r="B16" t="s">
        <v>88</v>
      </c>
      <c r="C16"/>
      <c r="D16">
        <v>78.8</v>
      </c>
      <c r="E16"/>
      <c r="F16">
        <v>-0.24099999999999999</v>
      </c>
      <c r="G16"/>
      <c r="H16">
        <v>1.2799999999999998</v>
      </c>
      <c r="I16" s="1">
        <v>67.3</v>
      </c>
      <c r="J16"/>
      <c r="K16" s="1">
        <f t="shared" si="0"/>
        <v>-0.20207314232471466</v>
      </c>
      <c r="L16">
        <v>31725000</v>
      </c>
      <c r="M16"/>
      <c r="N16">
        <f t="shared" si="1"/>
        <v>46.187106918238996</v>
      </c>
      <c r="O16" s="7">
        <v>68688000</v>
      </c>
      <c r="Q16" s="1"/>
      <c r="R16" s="1"/>
    </row>
    <row r="17" spans="1:18">
      <c r="A17">
        <v>4</v>
      </c>
      <c r="B17" t="s">
        <v>83</v>
      </c>
      <c r="C17"/>
      <c r="D17">
        <v>69.599999999999994</v>
      </c>
      <c r="E17"/>
      <c r="F17">
        <v>0.309</v>
      </c>
      <c r="G17"/>
      <c r="H17">
        <v>1.23</v>
      </c>
      <c r="I17" s="1">
        <v>57.2</v>
      </c>
      <c r="J17">
        <v>1</v>
      </c>
      <c r="K17" s="1">
        <f t="shared" si="0"/>
        <v>-0.29179437681042336</v>
      </c>
      <c r="L17">
        <v>25828000</v>
      </c>
      <c r="M17"/>
      <c r="N17">
        <f t="shared" si="1"/>
        <v>43.836282313940629</v>
      </c>
      <c r="O17" s="7">
        <v>58919230</v>
      </c>
      <c r="P17">
        <v>-1</v>
      </c>
      <c r="Q17" s="1"/>
      <c r="R17" s="1"/>
    </row>
    <row r="18" spans="1:18">
      <c r="A18">
        <v>4</v>
      </c>
      <c r="B18" t="s">
        <v>78</v>
      </c>
      <c r="C18"/>
      <c r="D18">
        <v>76.92</v>
      </c>
      <c r="E18"/>
      <c r="F18">
        <v>0.38500000000000001</v>
      </c>
      <c r="G18"/>
      <c r="H18">
        <v>2.15</v>
      </c>
      <c r="I18" s="1">
        <v>38.299999999999997</v>
      </c>
      <c r="J18"/>
      <c r="K18" s="1">
        <f t="shared" si="0"/>
        <v>1.1884598194071576</v>
      </c>
      <c r="L18">
        <v>18264000</v>
      </c>
      <c r="M18"/>
      <c r="N18">
        <f t="shared" si="1"/>
        <v>53.354054867272147</v>
      </c>
      <c r="O18" s="7">
        <v>34231700</v>
      </c>
      <c r="Q18" s="1"/>
      <c r="R18" s="1"/>
    </row>
    <row r="19" spans="1:18">
      <c r="A19">
        <v>4</v>
      </c>
      <c r="B19" t="s">
        <v>96</v>
      </c>
      <c r="C19"/>
      <c r="D19">
        <v>79.75</v>
      </c>
      <c r="E19"/>
      <c r="F19">
        <v>-0.71499999999999997</v>
      </c>
      <c r="G19"/>
      <c r="H19">
        <v>3.95</v>
      </c>
      <c r="I19" s="1">
        <v>139.6</v>
      </c>
      <c r="J19"/>
      <c r="K19" s="1">
        <f t="shared" si="0"/>
        <v>0.69110929954501676</v>
      </c>
      <c r="L19">
        <v>60959000</v>
      </c>
      <c r="M19"/>
      <c r="N19">
        <f t="shared" si="1"/>
        <v>46.684765887604918</v>
      </c>
      <c r="O19" s="7">
        <v>130575786</v>
      </c>
      <c r="Q19" s="1">
        <v>-1</v>
      </c>
      <c r="R19" s="1"/>
    </row>
    <row r="20" spans="1:18">
      <c r="A20">
        <v>4</v>
      </c>
      <c r="B20" t="s">
        <v>70</v>
      </c>
      <c r="C20"/>
      <c r="D20">
        <v>95.64</v>
      </c>
      <c r="E20"/>
      <c r="F20">
        <v>0.42799999999999999</v>
      </c>
      <c r="G20"/>
      <c r="H20">
        <v>1.5</v>
      </c>
      <c r="I20" s="1">
        <v>18.8</v>
      </c>
      <c r="J20"/>
      <c r="K20" s="1">
        <f t="shared" si="0"/>
        <v>0.39768777546613582</v>
      </c>
      <c r="L20">
        <v>10315000</v>
      </c>
      <c r="M20"/>
      <c r="N20">
        <f t="shared" si="1"/>
        <v>57.049015640389996</v>
      </c>
      <c r="O20" s="7">
        <v>18080943</v>
      </c>
      <c r="Q20" s="1">
        <v>1</v>
      </c>
      <c r="R20" s="1">
        <v>-1</v>
      </c>
    </row>
    <row r="21" spans="1:18">
      <c r="A21">
        <v>4</v>
      </c>
      <c r="B21" t="s">
        <v>61</v>
      </c>
      <c r="C21"/>
      <c r="D21">
        <v>100</v>
      </c>
      <c r="E21">
        <v>-1</v>
      </c>
      <c r="F21">
        <v>1.232</v>
      </c>
      <c r="G21"/>
      <c r="H21">
        <v>1.6700000000000004</v>
      </c>
      <c r="I21" s="1">
        <v>6.6</v>
      </c>
      <c r="J21"/>
      <c r="K21" s="1">
        <f t="shared" si="0"/>
        <v>0.932763504447647</v>
      </c>
      <c r="L21">
        <v>3722000</v>
      </c>
      <c r="M21"/>
      <c r="N21">
        <f t="shared" si="1"/>
        <v>61.654160247809308</v>
      </c>
      <c r="O21" s="7">
        <v>6036900</v>
      </c>
      <c r="Q21" s="1">
        <v>1</v>
      </c>
      <c r="R21" s="1"/>
    </row>
    <row r="22" spans="1:18">
      <c r="A22">
        <v>4</v>
      </c>
      <c r="B22" t="s">
        <v>85</v>
      </c>
      <c r="C22"/>
      <c r="D22">
        <v>63.69</v>
      </c>
      <c r="E22"/>
      <c r="F22">
        <v>-0.61699999999999999</v>
      </c>
      <c r="G22"/>
      <c r="H22">
        <v>5.1599999999999993</v>
      </c>
      <c r="I22" s="1">
        <v>70.400000000000006</v>
      </c>
      <c r="J22"/>
      <c r="K22" s="1">
        <f t="shared" si="0"/>
        <v>1.1567267336487592</v>
      </c>
      <c r="L22">
        <v>27766000</v>
      </c>
      <c r="M22"/>
      <c r="N22">
        <f t="shared" si="1"/>
        <v>44.002510580467536</v>
      </c>
      <c r="O22" s="7">
        <v>63100945</v>
      </c>
      <c r="P22">
        <v>-1</v>
      </c>
      <c r="Q22" s="1">
        <v>-1</v>
      </c>
      <c r="R22" s="1">
        <v>1</v>
      </c>
    </row>
    <row r="23" spans="1:18">
      <c r="A23">
        <v>4</v>
      </c>
      <c r="B23" t="s">
        <v>82</v>
      </c>
      <c r="C23"/>
      <c r="D23">
        <v>80.319999999999993</v>
      </c>
      <c r="E23"/>
      <c r="F23">
        <v>-3.0000000000000001E-3</v>
      </c>
      <c r="G23"/>
      <c r="H23">
        <v>1.23</v>
      </c>
      <c r="I23" s="1">
        <v>52.1</v>
      </c>
      <c r="J23"/>
      <c r="K23" s="1">
        <f t="shared" si="0"/>
        <v>0.5645335954094689</v>
      </c>
      <c r="L23">
        <v>24386000</v>
      </c>
      <c r="M23"/>
      <c r="N23">
        <f t="shared" si="1"/>
        <v>49.448505999549965</v>
      </c>
      <c r="O23" s="7">
        <v>49315949</v>
      </c>
      <c r="Q23" s="1"/>
      <c r="R23" s="1"/>
    </row>
    <row r="24" spans="1:18">
      <c r="A24">
        <v>4</v>
      </c>
      <c r="B24" t="s">
        <v>92</v>
      </c>
      <c r="C24"/>
      <c r="D24">
        <v>61.87</v>
      </c>
      <c r="E24"/>
      <c r="F24">
        <v>-0.68300000000000005</v>
      </c>
      <c r="G24"/>
      <c r="H24">
        <v>1.5999999999999999</v>
      </c>
      <c r="I24" s="1">
        <v>70.5</v>
      </c>
      <c r="J24"/>
      <c r="K24" s="1">
        <f t="shared" si="0"/>
        <v>0.70458326222250833</v>
      </c>
      <c r="L24">
        <v>40623000</v>
      </c>
      <c r="M24"/>
      <c r="N24">
        <f t="shared" si="1"/>
        <v>61.681175299470205</v>
      </c>
      <c r="O24" s="7">
        <v>65859640</v>
      </c>
      <c r="Q24" s="1"/>
      <c r="R24" s="1"/>
    </row>
    <row r="25" spans="1:18">
      <c r="A25">
        <v>4</v>
      </c>
      <c r="B25" t="s">
        <v>90</v>
      </c>
      <c r="C25"/>
      <c r="D25">
        <v>83.24</v>
      </c>
      <c r="E25"/>
      <c r="F25">
        <v>0.25800000000000001</v>
      </c>
      <c r="G25"/>
      <c r="H25">
        <v>2.2399999999999998</v>
      </c>
      <c r="I25" s="1">
        <v>72.7</v>
      </c>
      <c r="J25"/>
      <c r="K25" s="1">
        <f t="shared" si="0"/>
        <v>0.64964145938526319</v>
      </c>
      <c r="L25">
        <v>35359000</v>
      </c>
      <c r="M25"/>
      <c r="N25">
        <f t="shared" si="1"/>
        <v>51.796516143384252</v>
      </c>
      <c r="O25" s="7">
        <v>68265209</v>
      </c>
      <c r="Q25" s="1"/>
      <c r="R25" s="1"/>
    </row>
    <row r="26" spans="1:18">
      <c r="A26">
        <v>4</v>
      </c>
      <c r="B26" t="s">
        <v>104</v>
      </c>
      <c r="C26"/>
      <c r="D26">
        <v>80.12</v>
      </c>
      <c r="E26"/>
      <c r="F26">
        <v>-9.5000000000000001E-2</v>
      </c>
      <c r="G26"/>
      <c r="H26">
        <v>1.7600000000000002</v>
      </c>
      <c r="I26" s="1">
        <v>351</v>
      </c>
      <c r="J26"/>
      <c r="K26" s="1">
        <f t="shared" si="0"/>
        <v>0.32016054712116504</v>
      </c>
      <c r="L26">
        <v>174174000</v>
      </c>
      <c r="M26"/>
      <c r="N26">
        <f t="shared" si="1"/>
        <v>51.210930003825695</v>
      </c>
      <c r="O26" s="7">
        <v>340110988</v>
      </c>
      <c r="Q26" s="1">
        <v>-1</v>
      </c>
      <c r="R26" s="1"/>
    </row>
    <row r="27" spans="1:18">
      <c r="A27">
        <v>3</v>
      </c>
      <c r="B27" t="s">
        <v>84</v>
      </c>
      <c r="C27"/>
      <c r="D27">
        <v>78.52</v>
      </c>
      <c r="E27">
        <v>1</v>
      </c>
      <c r="F27">
        <v>-0.97099999999999997</v>
      </c>
      <c r="G27"/>
      <c r="H27">
        <v>3.7299999999999995</v>
      </c>
      <c r="I27" s="1">
        <v>57.4</v>
      </c>
      <c r="J27"/>
      <c r="K27" s="1">
        <f t="shared" si="0"/>
        <v>0.81851040344901649</v>
      </c>
      <c r="L27">
        <v>26822000</v>
      </c>
      <c r="M27"/>
      <c r="N27">
        <f t="shared" si="1"/>
        <v>50.552976662249044</v>
      </c>
      <c r="O27" s="7">
        <v>53057212</v>
      </c>
      <c r="Q27" s="1"/>
      <c r="R27" s="1"/>
    </row>
    <row r="28" spans="1:18">
      <c r="A28">
        <v>3</v>
      </c>
      <c r="B28" t="s">
        <v>62</v>
      </c>
      <c r="C28"/>
      <c r="D28">
        <v>79</v>
      </c>
      <c r="E28"/>
      <c r="F28">
        <v>0.13900000000000001</v>
      </c>
      <c r="G28">
        <v>1</v>
      </c>
      <c r="H28">
        <v>0.78</v>
      </c>
      <c r="I28" s="1">
        <v>9.8000000000000007</v>
      </c>
      <c r="J28">
        <v>1</v>
      </c>
      <c r="K28" s="1">
        <f t="shared" si="0"/>
        <v>-0.57692307692307687</v>
      </c>
      <c r="L28">
        <v>4655000</v>
      </c>
      <c r="M28"/>
      <c r="N28">
        <f t="shared" si="1"/>
        <v>44.759615384615387</v>
      </c>
      <c r="O28" s="7">
        <v>10400000</v>
      </c>
      <c r="Q28" s="1"/>
      <c r="R28" s="1"/>
    </row>
    <row r="29" spans="1:18">
      <c r="A29">
        <v>3</v>
      </c>
      <c r="B29" t="s">
        <v>103</v>
      </c>
      <c r="C29">
        <v>1</v>
      </c>
      <c r="D29">
        <v>58.75</v>
      </c>
      <c r="E29"/>
      <c r="F29">
        <v>-0.60899999999999999</v>
      </c>
      <c r="G29"/>
      <c r="H29">
        <v>4.6999999999999984</v>
      </c>
      <c r="I29" s="1">
        <v>302.60000000000002</v>
      </c>
      <c r="J29"/>
      <c r="K29" s="1">
        <f t="shared" si="0"/>
        <v>0.63849303081321729</v>
      </c>
      <c r="L29">
        <v>143144000</v>
      </c>
      <c r="M29"/>
      <c r="N29">
        <f t="shared" si="1"/>
        <v>50.32506432262813</v>
      </c>
      <c r="O29" s="7">
        <v>284438782</v>
      </c>
      <c r="Q29" s="1"/>
      <c r="R29" s="1"/>
    </row>
    <row r="30" spans="1:18">
      <c r="A30">
        <v>3</v>
      </c>
      <c r="B30" t="s">
        <v>97</v>
      </c>
      <c r="C30">
        <v>-1</v>
      </c>
      <c r="D30">
        <v>92.19</v>
      </c>
      <c r="E30">
        <v>-1</v>
      </c>
      <c r="F30">
        <v>1.1339999999999999</v>
      </c>
      <c r="G30">
        <v>1</v>
      </c>
      <c r="H30">
        <v>0.47999999999999987</v>
      </c>
      <c r="I30" s="1">
        <v>116.6</v>
      </c>
      <c r="J30">
        <v>1</v>
      </c>
      <c r="K30" s="1">
        <f t="shared" si="0"/>
        <v>-0.54339010543390109</v>
      </c>
      <c r="L30">
        <v>69382000</v>
      </c>
      <c r="M30"/>
      <c r="N30">
        <f t="shared" si="1"/>
        <v>56.270884022708842</v>
      </c>
      <c r="O30" s="7">
        <v>123300000</v>
      </c>
      <c r="Q30" s="1"/>
      <c r="R30" s="1"/>
    </row>
    <row r="31" spans="1:18">
      <c r="A31">
        <v>3</v>
      </c>
      <c r="B31" t="s">
        <v>94</v>
      </c>
      <c r="C31">
        <v>1</v>
      </c>
      <c r="D31">
        <v>55.45</v>
      </c>
      <c r="E31"/>
      <c r="F31">
        <v>-0.77400000000000002</v>
      </c>
      <c r="G31"/>
      <c r="H31">
        <v>3.03</v>
      </c>
      <c r="I31" s="1">
        <v>124.1</v>
      </c>
      <c r="J31"/>
      <c r="K31" s="1">
        <f t="shared" si="0"/>
        <v>0.8741750172619861</v>
      </c>
      <c r="L31">
        <v>50979000</v>
      </c>
      <c r="M31"/>
      <c r="N31">
        <f t="shared" si="1"/>
        <v>44.669989379935437</v>
      </c>
      <c r="O31" s="7">
        <v>114123600</v>
      </c>
      <c r="Q31" s="1">
        <v>1</v>
      </c>
      <c r="R31" s="1"/>
    </row>
    <row r="32" spans="1:18">
      <c r="A32">
        <v>3</v>
      </c>
      <c r="B32" t="s">
        <v>77</v>
      </c>
      <c r="C32">
        <v>1</v>
      </c>
      <c r="D32">
        <v>59.97</v>
      </c>
      <c r="E32"/>
      <c r="F32">
        <v>0.499</v>
      </c>
      <c r="G32"/>
      <c r="H32">
        <v>1.6199999999999999</v>
      </c>
      <c r="I32" s="1">
        <v>36.200000000000003</v>
      </c>
      <c r="J32">
        <v>1</v>
      </c>
      <c r="K32" s="1">
        <f t="shared" si="0"/>
        <v>-0.32111440870564956</v>
      </c>
      <c r="L32">
        <v>18245000</v>
      </c>
      <c r="M32"/>
      <c r="N32">
        <f t="shared" si="1"/>
        <v>48.782118125183821</v>
      </c>
      <c r="O32" s="7">
        <v>37401000</v>
      </c>
      <c r="Q32" s="1"/>
      <c r="R32" s="1"/>
    </row>
    <row r="33" spans="1:18">
      <c r="A33">
        <v>3</v>
      </c>
      <c r="B33" t="s">
        <v>68</v>
      </c>
      <c r="C33">
        <v>1</v>
      </c>
      <c r="D33">
        <v>52.17</v>
      </c>
      <c r="E33"/>
      <c r="F33">
        <v>0.159</v>
      </c>
      <c r="G33"/>
      <c r="H33">
        <v>2.7800000000000002</v>
      </c>
      <c r="I33" s="1">
        <v>17.8</v>
      </c>
      <c r="J33">
        <v>1</v>
      </c>
      <c r="K33" s="1">
        <f t="shared" si="0"/>
        <v>-0.64931129813772626</v>
      </c>
      <c r="L33">
        <v>8263000</v>
      </c>
      <c r="M33"/>
      <c r="N33">
        <f t="shared" si="1"/>
        <v>43.407157721060656</v>
      </c>
      <c r="O33" s="7">
        <v>19036031</v>
      </c>
      <c r="Q33" s="1"/>
      <c r="R33" s="1"/>
    </row>
    <row r="34" spans="1:18">
      <c r="A34">
        <v>3</v>
      </c>
      <c r="B34" t="s">
        <v>98</v>
      </c>
      <c r="C34"/>
      <c r="D34">
        <v>75.11</v>
      </c>
      <c r="E34"/>
      <c r="F34">
        <v>-0.90300000000000002</v>
      </c>
      <c r="G34"/>
      <c r="H34">
        <v>6.85</v>
      </c>
      <c r="I34" s="1">
        <v>141.19999999999999</v>
      </c>
      <c r="J34">
        <v>1</v>
      </c>
      <c r="K34" s="1">
        <f t="shared" ref="K34:K52" si="2">(I34*1000000-O34)*10/O34</f>
        <v>-0.33064304476545903</v>
      </c>
      <c r="L34">
        <v>72517000</v>
      </c>
      <c r="M34"/>
      <c r="N34">
        <f t="shared" ref="N34:N52" si="3">L34*100/O34</f>
        <v>49.659543790562552</v>
      </c>
      <c r="O34" s="7">
        <v>146028325</v>
      </c>
      <c r="P34">
        <v>1</v>
      </c>
      <c r="Q34" s="1">
        <v>-1</v>
      </c>
    </row>
    <row r="35" spans="1:18">
      <c r="A35">
        <v>3</v>
      </c>
      <c r="B35" t="s">
        <v>75</v>
      </c>
      <c r="C35"/>
      <c r="D35">
        <v>84.46</v>
      </c>
      <c r="E35"/>
      <c r="F35">
        <v>-4.8000000000000001E-2</v>
      </c>
      <c r="G35"/>
      <c r="H35">
        <v>1.89</v>
      </c>
      <c r="I35" s="1">
        <v>41.4</v>
      </c>
      <c r="J35"/>
      <c r="K35" s="1">
        <f t="shared" si="2"/>
        <v>1.7279522995285024</v>
      </c>
      <c r="L35">
        <v>17168000</v>
      </c>
      <c r="M35"/>
      <c r="N35">
        <f t="shared" si="3"/>
        <v>48.634175139687279</v>
      </c>
      <c r="O35" s="7">
        <v>35300280</v>
      </c>
      <c r="Q35" s="1">
        <v>1</v>
      </c>
      <c r="R35" s="1"/>
    </row>
    <row r="36" spans="1:18">
      <c r="A36">
        <v>3</v>
      </c>
      <c r="B36" t="s">
        <v>87</v>
      </c>
      <c r="C36"/>
      <c r="D36">
        <v>81.17</v>
      </c>
      <c r="E36"/>
      <c r="F36">
        <v>0.63900000000000001</v>
      </c>
      <c r="G36"/>
      <c r="H36">
        <v>1.7200000000000002</v>
      </c>
      <c r="I36" s="1">
        <v>50.8</v>
      </c>
      <c r="J36"/>
      <c r="K36" s="1">
        <f t="shared" si="2"/>
        <v>-7.0345930578543672E-2</v>
      </c>
      <c r="L36">
        <v>29713000</v>
      </c>
      <c r="M36"/>
      <c r="N36">
        <f t="shared" si="3"/>
        <v>58.078703024551132</v>
      </c>
      <c r="O36" s="7">
        <v>51159889</v>
      </c>
      <c r="P36">
        <v>1</v>
      </c>
      <c r="Q36" s="1"/>
    </row>
    <row r="37" spans="1:18">
      <c r="A37">
        <v>3</v>
      </c>
      <c r="B37" t="s">
        <v>126</v>
      </c>
      <c r="C37"/>
      <c r="D37">
        <v>85.82</v>
      </c>
      <c r="E37">
        <v>-1</v>
      </c>
      <c r="F37">
        <v>0.78900000000000003</v>
      </c>
      <c r="G37"/>
      <c r="H37">
        <v>9.85</v>
      </c>
      <c r="I37" s="1">
        <v>11.3</v>
      </c>
      <c r="J37"/>
      <c r="K37" s="1">
        <f t="shared" si="2"/>
        <v>0.58195508830969278</v>
      </c>
      <c r="L37">
        <v>7090000</v>
      </c>
      <c r="M37"/>
      <c r="N37">
        <f t="shared" si="3"/>
        <v>66.394744757624537</v>
      </c>
      <c r="O37" s="7">
        <v>10678556</v>
      </c>
      <c r="Q37" s="1">
        <v>1</v>
      </c>
      <c r="R37" s="1"/>
    </row>
    <row r="38" spans="1:18">
      <c r="A38">
        <v>3</v>
      </c>
      <c r="B38" t="s">
        <v>91</v>
      </c>
      <c r="C38">
        <v>-1</v>
      </c>
      <c r="D38">
        <v>89.34</v>
      </c>
      <c r="E38">
        <v>1</v>
      </c>
      <c r="F38">
        <v>-0.97099999999999997</v>
      </c>
      <c r="G38">
        <v>1</v>
      </c>
      <c r="H38">
        <v>12.560000000000002</v>
      </c>
      <c r="I38" s="1">
        <v>96.4</v>
      </c>
      <c r="J38"/>
      <c r="K38" s="1">
        <f t="shared" si="2"/>
        <v>1.253144576852814</v>
      </c>
      <c r="L38">
        <v>36081000</v>
      </c>
      <c r="M38"/>
      <c r="N38">
        <f t="shared" si="3"/>
        <v>42.118745796413528</v>
      </c>
      <c r="O38" s="7">
        <v>85664944</v>
      </c>
      <c r="Q38" s="1">
        <v>-1</v>
      </c>
      <c r="R38" s="1"/>
    </row>
    <row r="39" spans="1:18">
      <c r="A39">
        <v>3</v>
      </c>
      <c r="B39" t="s">
        <v>79</v>
      </c>
      <c r="C39"/>
      <c r="D39">
        <v>69.53</v>
      </c>
      <c r="E39"/>
      <c r="F39">
        <v>-0.432</v>
      </c>
      <c r="G39"/>
      <c r="H39">
        <v>1.48</v>
      </c>
      <c r="I39" s="1">
        <v>36.799999999999997</v>
      </c>
      <c r="J39"/>
      <c r="K39" s="1">
        <f t="shared" si="2"/>
        <v>1.1983445925384943</v>
      </c>
      <c r="L39">
        <v>20539000</v>
      </c>
      <c r="M39"/>
      <c r="N39">
        <f t="shared" si="3"/>
        <v>62.500760757105475</v>
      </c>
      <c r="O39" s="7">
        <v>32862000</v>
      </c>
      <c r="P39">
        <v>1</v>
      </c>
      <c r="Q39" s="1"/>
    </row>
    <row r="40" spans="1:18">
      <c r="A40">
        <v>3</v>
      </c>
      <c r="B40" t="s">
        <v>95</v>
      </c>
      <c r="C40">
        <v>1</v>
      </c>
      <c r="D40">
        <v>38.49</v>
      </c>
      <c r="E40"/>
      <c r="F40">
        <v>6.0000000000000001E-3</v>
      </c>
      <c r="G40"/>
      <c r="H40">
        <v>6.07</v>
      </c>
      <c r="I40" s="1">
        <v>106.7</v>
      </c>
      <c r="J40"/>
      <c r="K40" s="1">
        <f t="shared" si="2"/>
        <v>0.52851777809792011</v>
      </c>
      <c r="L40">
        <v>57133000</v>
      </c>
      <c r="M40"/>
      <c r="N40">
        <f t="shared" si="3"/>
        <v>56.375427011815226</v>
      </c>
      <c r="O40" s="7">
        <v>101343800</v>
      </c>
      <c r="Q40" s="1"/>
      <c r="R40" s="1"/>
    </row>
    <row r="41" spans="1:18">
      <c r="A41">
        <v>2</v>
      </c>
      <c r="B41" t="s">
        <v>73</v>
      </c>
      <c r="C41"/>
      <c r="D41">
        <v>75.28</v>
      </c>
      <c r="E41"/>
      <c r="F41">
        <v>-0.69399999999999995</v>
      </c>
      <c r="G41"/>
      <c r="H41">
        <v>4.66</v>
      </c>
      <c r="I41" s="1">
        <v>54.2</v>
      </c>
      <c r="J41"/>
      <c r="K41" s="1">
        <f t="shared" si="2"/>
        <v>1.4345991561181435</v>
      </c>
      <c r="L41">
        <v>13294000</v>
      </c>
      <c r="M41">
        <v>1</v>
      </c>
      <c r="N41">
        <f t="shared" si="3"/>
        <v>28.046413502109704</v>
      </c>
      <c r="O41" s="7">
        <v>47400000</v>
      </c>
      <c r="Q41" s="1">
        <v>1</v>
      </c>
      <c r="R41" s="1"/>
    </row>
    <row r="42" spans="1:18">
      <c r="A42">
        <v>2</v>
      </c>
      <c r="B42" t="s">
        <v>105</v>
      </c>
      <c r="C42">
        <v>1</v>
      </c>
      <c r="D42">
        <v>35.380000000000003</v>
      </c>
      <c r="E42"/>
      <c r="F42">
        <v>-0.78600000000000003</v>
      </c>
      <c r="G42"/>
      <c r="H42">
        <v>6.3899999999999988</v>
      </c>
      <c r="I42" s="1">
        <v>1568.6</v>
      </c>
      <c r="J42"/>
      <c r="K42" s="1">
        <f t="shared" si="2"/>
        <v>1.0660236530435445</v>
      </c>
      <c r="L42">
        <v>607691000</v>
      </c>
      <c r="M42"/>
      <c r="N42">
        <f t="shared" si="3"/>
        <v>42.870859235889867</v>
      </c>
      <c r="O42" s="7">
        <v>1417492000</v>
      </c>
      <c r="Q42" s="1"/>
      <c r="R42" s="1">
        <v>1</v>
      </c>
    </row>
    <row r="43" spans="1:18">
      <c r="A43">
        <v>2</v>
      </c>
      <c r="B43" t="s">
        <v>63</v>
      </c>
      <c r="C43"/>
      <c r="D43">
        <v>91.54</v>
      </c>
      <c r="E43">
        <v>1</v>
      </c>
      <c r="F43">
        <v>-1.038</v>
      </c>
      <c r="G43"/>
      <c r="H43">
        <v>1.06</v>
      </c>
      <c r="I43" s="1">
        <v>11.7</v>
      </c>
      <c r="J43"/>
      <c r="K43" s="1">
        <f t="shared" si="2"/>
        <v>1.5619503132596795</v>
      </c>
      <c r="L43">
        <v>4710000</v>
      </c>
      <c r="M43"/>
      <c r="N43">
        <f t="shared" si="3"/>
        <v>46.544261517481274</v>
      </c>
      <c r="O43" s="7">
        <v>10119400</v>
      </c>
      <c r="P43">
        <v>1</v>
      </c>
      <c r="Q43" s="1">
        <v>1</v>
      </c>
    </row>
    <row r="44" spans="1:18">
      <c r="A44">
        <v>2</v>
      </c>
      <c r="B44" t="s">
        <v>72</v>
      </c>
      <c r="C44"/>
      <c r="D44">
        <v>62.8</v>
      </c>
      <c r="E44"/>
      <c r="F44">
        <v>-0.441</v>
      </c>
      <c r="G44"/>
      <c r="H44">
        <v>1.1299999999999999</v>
      </c>
      <c r="I44" s="1">
        <v>40.700000000000003</v>
      </c>
      <c r="J44"/>
      <c r="K44" s="1">
        <f t="shared" si="2"/>
        <v>0.76719576719576721</v>
      </c>
      <c r="L44">
        <v>12475000</v>
      </c>
      <c r="M44">
        <v>1</v>
      </c>
      <c r="N44">
        <f t="shared" si="3"/>
        <v>33.0026455026455</v>
      </c>
      <c r="O44" s="7">
        <v>37800000</v>
      </c>
      <c r="Q44" s="1">
        <v>1</v>
      </c>
      <c r="R44" s="1">
        <v>1</v>
      </c>
    </row>
    <row r="45" spans="1:18">
      <c r="A45">
        <v>2</v>
      </c>
      <c r="B45" t="s">
        <v>76</v>
      </c>
      <c r="C45"/>
      <c r="D45">
        <v>63.86</v>
      </c>
      <c r="E45"/>
      <c r="F45">
        <v>0.32200000000000001</v>
      </c>
      <c r="G45"/>
      <c r="H45">
        <v>0</v>
      </c>
      <c r="I45" s="1">
        <v>27.2</v>
      </c>
      <c r="J45"/>
      <c r="K45" s="1">
        <f t="shared" si="2"/>
        <v>0.46153846153846156</v>
      </c>
      <c r="L45">
        <v>17637000</v>
      </c>
      <c r="M45"/>
      <c r="N45">
        <f t="shared" si="3"/>
        <v>67.83461538461539</v>
      </c>
      <c r="O45" s="7">
        <v>26000000</v>
      </c>
      <c r="P45">
        <v>1</v>
      </c>
      <c r="Q45" s="1"/>
      <c r="R45">
        <v>1</v>
      </c>
    </row>
    <row r="46" spans="1:18">
      <c r="A46">
        <v>2</v>
      </c>
      <c r="B46" t="s">
        <v>194</v>
      </c>
      <c r="C46"/>
      <c r="D46">
        <v>78.91</v>
      </c>
      <c r="E46">
        <v>-1</v>
      </c>
      <c r="F46">
        <v>0.91700000000000004</v>
      </c>
      <c r="G46"/>
      <c r="H46">
        <v>1</v>
      </c>
      <c r="I46" s="1">
        <v>22.3</v>
      </c>
      <c r="J46">
        <v>1</v>
      </c>
      <c r="K46" s="1">
        <f t="shared" si="2"/>
        <v>-0.44474198575229618</v>
      </c>
      <c r="L46">
        <v>13015000</v>
      </c>
      <c r="M46"/>
      <c r="N46">
        <f t="shared" si="3"/>
        <v>55.767570876876171</v>
      </c>
      <c r="O46" s="7">
        <v>23337936</v>
      </c>
      <c r="P46">
        <v>1</v>
      </c>
      <c r="Q46" s="1">
        <v>1</v>
      </c>
    </row>
    <row r="47" spans="1:18">
      <c r="A47">
        <v>1</v>
      </c>
      <c r="B47" t="s">
        <v>99</v>
      </c>
      <c r="C47">
        <v>1</v>
      </c>
      <c r="D47">
        <v>32.68</v>
      </c>
      <c r="E47">
        <v>1</v>
      </c>
      <c r="F47">
        <v>-1.4630000000000001</v>
      </c>
      <c r="G47"/>
      <c r="H47">
        <v>6.81</v>
      </c>
      <c r="I47" s="1">
        <v>195.1</v>
      </c>
      <c r="J47"/>
      <c r="K47" s="1">
        <f t="shared" si="2"/>
        <v>1.4880322114295368</v>
      </c>
      <c r="L47">
        <v>77355000</v>
      </c>
      <c r="M47"/>
      <c r="N47">
        <f t="shared" si="3"/>
        <v>45.548781738346072</v>
      </c>
      <c r="O47" s="7">
        <v>169828911</v>
      </c>
      <c r="Q47" s="1">
        <v>1</v>
      </c>
      <c r="R47" s="1">
        <v>1</v>
      </c>
    </row>
    <row r="48" spans="1:18">
      <c r="A48">
        <v>1</v>
      </c>
      <c r="B48" t="s">
        <v>89</v>
      </c>
      <c r="C48">
        <v>1</v>
      </c>
      <c r="D48">
        <v>42.8</v>
      </c>
      <c r="E48">
        <v>1</v>
      </c>
      <c r="F48">
        <v>-0.97799999999999998</v>
      </c>
      <c r="G48">
        <v>1</v>
      </c>
      <c r="H48">
        <v>12.8</v>
      </c>
      <c r="I48" s="1">
        <v>124.1</v>
      </c>
      <c r="J48"/>
      <c r="K48" s="1">
        <f t="shared" si="2"/>
        <v>1.5688023054823819</v>
      </c>
      <c r="L48">
        <v>33749000</v>
      </c>
      <c r="M48">
        <v>1</v>
      </c>
      <c r="N48">
        <f t="shared" si="3"/>
        <v>31.461362530840042</v>
      </c>
      <c r="O48" s="7">
        <v>107271260</v>
      </c>
      <c r="Q48" s="1">
        <v>1</v>
      </c>
      <c r="R48" s="1"/>
    </row>
    <row r="49" spans="1:18">
      <c r="A49">
        <v>1</v>
      </c>
      <c r="B49" t="s">
        <v>86</v>
      </c>
      <c r="C49"/>
      <c r="D49">
        <v>77.02</v>
      </c>
      <c r="E49">
        <v>1</v>
      </c>
      <c r="F49">
        <v>-1.581</v>
      </c>
      <c r="G49">
        <v>1</v>
      </c>
      <c r="H49">
        <v>20.21</v>
      </c>
      <c r="I49" s="1">
        <v>97.7</v>
      </c>
      <c r="J49"/>
      <c r="K49" s="1">
        <f t="shared" si="2"/>
        <v>1.3656192924698409</v>
      </c>
      <c r="L49">
        <v>28575000</v>
      </c>
      <c r="M49">
        <v>1</v>
      </c>
      <c r="N49">
        <f t="shared" si="3"/>
        <v>33.241818964414094</v>
      </c>
      <c r="O49" s="7">
        <v>85961000</v>
      </c>
      <c r="P49">
        <v>1</v>
      </c>
      <c r="Q49" s="1"/>
    </row>
    <row r="50" spans="1:18">
      <c r="A50">
        <v>1</v>
      </c>
      <c r="B50" t="s">
        <v>71</v>
      </c>
      <c r="C50"/>
      <c r="D50">
        <v>69.89</v>
      </c>
      <c r="E50">
        <v>1</v>
      </c>
      <c r="F50">
        <v>-2.0640000000000001</v>
      </c>
      <c r="G50"/>
      <c r="H50">
        <v>2.0499999999999998</v>
      </c>
      <c r="I50" s="1">
        <v>55</v>
      </c>
      <c r="J50"/>
      <c r="K50" s="1">
        <f t="shared" si="2"/>
        <v>2.087912087912088</v>
      </c>
      <c r="L50">
        <v>12008000</v>
      </c>
      <c r="M50">
        <v>1</v>
      </c>
      <c r="N50">
        <f t="shared" si="3"/>
        <v>26.39120879120879</v>
      </c>
      <c r="O50" s="7">
        <v>45500000</v>
      </c>
      <c r="P50">
        <v>1</v>
      </c>
      <c r="Q50" s="1"/>
      <c r="R50">
        <v>1</v>
      </c>
    </row>
    <row r="51" spans="1:18">
      <c r="A51">
        <v>1</v>
      </c>
      <c r="B51" t="s">
        <v>102</v>
      </c>
      <c r="C51"/>
      <c r="D51">
        <v>62.98</v>
      </c>
      <c r="E51">
        <v>1</v>
      </c>
      <c r="F51">
        <v>-2.0030000000000001</v>
      </c>
      <c r="G51">
        <v>1</v>
      </c>
      <c r="H51">
        <v>11.8</v>
      </c>
      <c r="I51" s="1">
        <v>281.60000000000002</v>
      </c>
      <c r="J51"/>
      <c r="K51" s="1">
        <f t="shared" si="2"/>
        <v>2.5826630920464702</v>
      </c>
      <c r="L51">
        <v>113350000</v>
      </c>
      <c r="M51"/>
      <c r="N51">
        <f t="shared" si="3"/>
        <v>50.647899910634493</v>
      </c>
      <c r="O51" s="7">
        <v>223800000</v>
      </c>
      <c r="Q51" s="1"/>
      <c r="R51" s="1">
        <v>1</v>
      </c>
    </row>
    <row r="52" spans="1:18">
      <c r="A52">
        <v>1</v>
      </c>
      <c r="B52" t="s">
        <v>100</v>
      </c>
      <c r="C52">
        <v>1</v>
      </c>
      <c r="D52">
        <v>39.17</v>
      </c>
      <c r="E52">
        <v>1</v>
      </c>
      <c r="F52">
        <v>-2.0630000000000002</v>
      </c>
      <c r="G52"/>
      <c r="H52">
        <v>7.4499999999999984</v>
      </c>
      <c r="I52" s="1">
        <v>291.39999999999998</v>
      </c>
      <c r="J52"/>
      <c r="K52" s="1">
        <f t="shared" si="2"/>
        <v>2.0662810174488571</v>
      </c>
      <c r="L52">
        <v>83644000</v>
      </c>
      <c r="M52">
        <v>1</v>
      </c>
      <c r="N52">
        <f t="shared" si="3"/>
        <v>34.635278291815105</v>
      </c>
      <c r="O52" s="7">
        <v>241499431</v>
      </c>
      <c r="P52">
        <v>1</v>
      </c>
      <c r="Q52" s="1"/>
      <c r="R52">
        <v>1</v>
      </c>
    </row>
  </sheetData>
  <sortState xmlns:xlrd2="http://schemas.microsoft.com/office/spreadsheetml/2017/richdata2" ref="A2:R52">
    <sortCondition descending="1" ref="A2:A52"/>
  </sortState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7F72A-82D7-4DAB-9F9A-5B921282155B}">
  <dimension ref="A1:N52"/>
  <sheetViews>
    <sheetView workbookViewId="0">
      <pane ySplit="1" topLeftCell="A2" activePane="bottomLeft" state="frozen"/>
      <selection pane="bottomLeft" activeCell="I16" sqref="I16"/>
    </sheetView>
  </sheetViews>
  <sheetFormatPr defaultRowHeight="13.9"/>
  <cols>
    <col min="5" max="5" width="8.6640625" style="1"/>
    <col min="8" max="9" width="8.6640625" style="1"/>
  </cols>
  <sheetData>
    <row r="1" spans="1:14" s="13" customFormat="1">
      <c r="A1" s="15" t="s">
        <v>220</v>
      </c>
      <c r="B1" s="15" t="s">
        <v>240</v>
      </c>
      <c r="C1" s="15" t="s">
        <v>241</v>
      </c>
      <c r="D1" s="15" t="s">
        <v>196</v>
      </c>
      <c r="E1" s="15"/>
      <c r="F1" s="15" t="s">
        <v>242</v>
      </c>
      <c r="G1" s="15"/>
      <c r="H1" s="15" t="s">
        <v>243</v>
      </c>
      <c r="I1" s="15" t="s">
        <v>244</v>
      </c>
      <c r="J1" s="15" t="s">
        <v>245</v>
      </c>
      <c r="K1" s="15"/>
      <c r="L1" s="15" t="s">
        <v>246</v>
      </c>
      <c r="M1" s="15" t="s">
        <v>247</v>
      </c>
      <c r="N1" s="15" t="s">
        <v>248</v>
      </c>
    </row>
    <row r="2" spans="1:14">
      <c r="A2">
        <v>21</v>
      </c>
      <c r="B2">
        <f t="shared" ref="B2:B33" si="0">E2+K2/2+G2/3+I2^0.5+J2/50+M2^0.5/10+C2</f>
        <v>66.133396216464945</v>
      </c>
      <c r="C2">
        <f t="shared" ref="C2:C33" si="1">F2^10*L2^0.3*H2^0.5*2+I2^0.5/4+J2/100+M2^0.5/50</f>
        <v>3.6196969082554986</v>
      </c>
      <c r="D2" t="s">
        <v>106</v>
      </c>
      <c r="E2">
        <v>18</v>
      </c>
      <c r="F2">
        <v>0.79700000000000004</v>
      </c>
      <c r="G2">
        <v>38</v>
      </c>
      <c r="H2">
        <v>2.56</v>
      </c>
      <c r="I2" s="1">
        <v>6.08</v>
      </c>
      <c r="J2">
        <v>173</v>
      </c>
      <c r="K2">
        <v>49</v>
      </c>
      <c r="L2">
        <v>38.448559332354698</v>
      </c>
      <c r="M2">
        <v>202</v>
      </c>
      <c r="N2">
        <v>42268.4</v>
      </c>
    </row>
    <row r="3" spans="1:14">
      <c r="A3">
        <v>10.5</v>
      </c>
      <c r="B3">
        <f t="shared" si="0"/>
        <v>83.626751347633487</v>
      </c>
      <c r="C3">
        <f t="shared" si="1"/>
        <v>7.1134412407734198</v>
      </c>
      <c r="D3" t="s">
        <v>185</v>
      </c>
      <c r="E3">
        <v>29.5</v>
      </c>
      <c r="F3">
        <v>0.91500000000000004</v>
      </c>
      <c r="G3">
        <v>36.5</v>
      </c>
      <c r="H3">
        <v>2.2400000000000002</v>
      </c>
      <c r="I3">
        <v>25.52</v>
      </c>
      <c r="J3">
        <v>164</v>
      </c>
      <c r="K3">
        <v>50.5</v>
      </c>
      <c r="L3">
        <v>49</v>
      </c>
      <c r="M3">
        <v>160</v>
      </c>
      <c r="N3">
        <v>23515.083893333333</v>
      </c>
    </row>
    <row r="4" spans="1:14">
      <c r="A4">
        <v>14</v>
      </c>
      <c r="B4">
        <f t="shared" si="0"/>
        <v>77.054704987800633</v>
      </c>
      <c r="C4">
        <f t="shared" si="1"/>
        <v>4.3573368016378566</v>
      </c>
      <c r="D4" t="s">
        <v>59</v>
      </c>
      <c r="E4">
        <v>50</v>
      </c>
      <c r="F4">
        <v>0.97</v>
      </c>
      <c r="G4">
        <v>32</v>
      </c>
      <c r="H4">
        <v>1.56</v>
      </c>
      <c r="I4" s="1">
        <v>0.77</v>
      </c>
      <c r="J4">
        <v>74</v>
      </c>
      <c r="K4">
        <v>19</v>
      </c>
      <c r="L4">
        <v>7.4392512916840996</v>
      </c>
      <c r="M4">
        <v>3</v>
      </c>
      <c r="N4">
        <v>18823.556356666664</v>
      </c>
    </row>
    <row r="5" spans="1:14">
      <c r="A5">
        <v>18</v>
      </c>
      <c r="B5">
        <f t="shared" si="0"/>
        <v>70.766596077068911</v>
      </c>
      <c r="C5">
        <f t="shared" si="1"/>
        <v>4.0096559459856049</v>
      </c>
      <c r="D5" t="s">
        <v>126</v>
      </c>
      <c r="E5">
        <v>40</v>
      </c>
      <c r="F5">
        <v>0.94</v>
      </c>
      <c r="G5">
        <v>31</v>
      </c>
      <c r="H5">
        <v>1.49</v>
      </c>
      <c r="I5" s="1">
        <v>0.49</v>
      </c>
      <c r="J5">
        <v>100</v>
      </c>
      <c r="K5">
        <v>27</v>
      </c>
      <c r="L5">
        <v>12.273672095820599</v>
      </c>
      <c r="M5">
        <v>5</v>
      </c>
      <c r="N5">
        <v>16136.156666666666</v>
      </c>
    </row>
    <row r="6" spans="1:14">
      <c r="A6">
        <v>9</v>
      </c>
      <c r="B6">
        <f t="shared" si="0"/>
        <v>85.485522533152206</v>
      </c>
      <c r="C6">
        <f t="shared" si="1"/>
        <v>7.0295370425147334</v>
      </c>
      <c r="D6" t="s">
        <v>97</v>
      </c>
      <c r="E6">
        <v>35</v>
      </c>
      <c r="F6">
        <v>0.92500000000000004</v>
      </c>
      <c r="G6">
        <v>45</v>
      </c>
      <c r="H6">
        <v>3.41</v>
      </c>
      <c r="I6" s="1">
        <v>6.14</v>
      </c>
      <c r="J6">
        <v>152</v>
      </c>
      <c r="K6">
        <v>44</v>
      </c>
      <c r="L6">
        <v>30.083658781738198</v>
      </c>
      <c r="M6">
        <v>88</v>
      </c>
      <c r="N6">
        <v>13359.883333333333</v>
      </c>
    </row>
    <row r="7" spans="1:14">
      <c r="A7">
        <v>11</v>
      </c>
      <c r="B7">
        <f t="shared" si="0"/>
        <v>82.057222958630973</v>
      </c>
      <c r="C7">
        <f t="shared" si="1"/>
        <v>5.0361291009643807</v>
      </c>
      <c r="D7" t="s">
        <v>61</v>
      </c>
      <c r="E7">
        <v>42</v>
      </c>
      <c r="F7">
        <v>0.94599999999999995</v>
      </c>
      <c r="G7">
        <v>35</v>
      </c>
      <c r="H7">
        <v>2.16</v>
      </c>
      <c r="I7" s="1">
        <v>0.8</v>
      </c>
      <c r="J7">
        <v>33</v>
      </c>
      <c r="K7">
        <v>43</v>
      </c>
      <c r="L7">
        <v>24.83167344952</v>
      </c>
      <c r="M7">
        <v>9</v>
      </c>
      <c r="N7">
        <v>13209.132</v>
      </c>
    </row>
    <row r="8" spans="1:14">
      <c r="A8">
        <v>2</v>
      </c>
      <c r="B8">
        <f t="shared" si="0"/>
        <v>98.293273028192829</v>
      </c>
      <c r="C8">
        <f t="shared" si="1"/>
        <v>8.8672327362379555</v>
      </c>
      <c r="D8" t="s">
        <v>65</v>
      </c>
      <c r="E8">
        <v>49</v>
      </c>
      <c r="F8">
        <v>0.97</v>
      </c>
      <c r="G8">
        <v>43</v>
      </c>
      <c r="H8">
        <v>3.31</v>
      </c>
      <c r="I8" s="1">
        <v>1.17</v>
      </c>
      <c r="J8">
        <v>102.1</v>
      </c>
      <c r="K8">
        <v>45</v>
      </c>
      <c r="L8">
        <v>30.515661676835297</v>
      </c>
      <c r="M8">
        <v>22</v>
      </c>
      <c r="N8">
        <v>9552.4190533333331</v>
      </c>
    </row>
    <row r="9" spans="1:14">
      <c r="A9">
        <v>26</v>
      </c>
      <c r="B9">
        <f t="shared" si="0"/>
        <v>48.301419555998329</v>
      </c>
      <c r="C9">
        <f t="shared" si="1"/>
        <v>2.5004093830196772</v>
      </c>
      <c r="D9" t="s">
        <v>98</v>
      </c>
      <c r="E9">
        <v>22</v>
      </c>
      <c r="F9">
        <v>0.83199999999999996</v>
      </c>
      <c r="G9">
        <v>21</v>
      </c>
      <c r="H9">
        <v>0.93</v>
      </c>
      <c r="I9" s="1">
        <v>2.59</v>
      </c>
      <c r="J9">
        <v>143</v>
      </c>
      <c r="K9">
        <v>24</v>
      </c>
      <c r="L9">
        <v>9.4699366892482999</v>
      </c>
      <c r="M9">
        <v>11</v>
      </c>
      <c r="N9">
        <v>6541.7103333333334</v>
      </c>
    </row>
    <row r="10" spans="1:14">
      <c r="A10">
        <v>38</v>
      </c>
      <c r="B10">
        <f t="shared" si="0"/>
        <v>26.930783765762197</v>
      </c>
      <c r="C10">
        <f t="shared" si="1"/>
        <v>1.9894731394082394</v>
      </c>
      <c r="D10" t="s">
        <v>105</v>
      </c>
      <c r="E10">
        <v>4</v>
      </c>
      <c r="F10">
        <v>0.68500000000000005</v>
      </c>
      <c r="G10">
        <v>18</v>
      </c>
      <c r="H10">
        <v>0.65</v>
      </c>
      <c r="I10" s="1">
        <v>2.63</v>
      </c>
      <c r="J10">
        <v>142</v>
      </c>
      <c r="K10">
        <v>20</v>
      </c>
      <c r="L10">
        <v>7.8772164749422</v>
      </c>
      <c r="M10">
        <v>23</v>
      </c>
      <c r="N10">
        <v>6513.8917733333337</v>
      </c>
    </row>
    <row r="11" spans="1:14">
      <c r="A11">
        <v>12</v>
      </c>
      <c r="B11">
        <f t="shared" si="0"/>
        <v>78.773809479857803</v>
      </c>
      <c r="C11">
        <f t="shared" si="1"/>
        <v>5.307142813191124</v>
      </c>
      <c r="D11" t="s">
        <v>194</v>
      </c>
      <c r="E11">
        <v>34</v>
      </c>
      <c r="F11">
        <v>0.92100000000000004</v>
      </c>
      <c r="G11">
        <v>44</v>
      </c>
      <c r="H11">
        <v>3.41</v>
      </c>
      <c r="I11" s="1">
        <v>0</v>
      </c>
      <c r="J11">
        <v>70</v>
      </c>
      <c r="K11">
        <v>46</v>
      </c>
      <c r="L11">
        <v>30.624501361704898</v>
      </c>
      <c r="M11">
        <v>16</v>
      </c>
      <c r="N11">
        <v>6195.3833333333332</v>
      </c>
    </row>
    <row r="12" spans="1:14">
      <c r="A12">
        <v>28</v>
      </c>
      <c r="B12">
        <f t="shared" si="0"/>
        <v>47.439742923522346</v>
      </c>
      <c r="C12">
        <f t="shared" si="1"/>
        <v>2.38505810456325</v>
      </c>
      <c r="D12" t="s">
        <v>75</v>
      </c>
      <c r="E12">
        <v>27</v>
      </c>
      <c r="F12">
        <v>0.9</v>
      </c>
      <c r="G12">
        <v>16</v>
      </c>
      <c r="H12">
        <v>0.56000000000000005</v>
      </c>
      <c r="I12" s="1">
        <v>2.0099999999999998</v>
      </c>
      <c r="J12">
        <v>104</v>
      </c>
      <c r="K12">
        <v>18</v>
      </c>
      <c r="L12">
        <v>7.2608581113120003</v>
      </c>
      <c r="M12">
        <v>5</v>
      </c>
      <c r="N12">
        <v>5997.8508100000008</v>
      </c>
    </row>
    <row r="13" spans="1:14">
      <c r="A13">
        <v>1</v>
      </c>
      <c r="B13">
        <f t="shared" si="0"/>
        <v>99.89088081408697</v>
      </c>
      <c r="C13">
        <f t="shared" si="1"/>
        <v>9.3117963532189414</v>
      </c>
      <c r="D13" t="s">
        <v>93</v>
      </c>
      <c r="E13">
        <v>46</v>
      </c>
      <c r="F13">
        <v>0.95899999999999996</v>
      </c>
      <c r="G13">
        <v>41</v>
      </c>
      <c r="H13">
        <v>3.13</v>
      </c>
      <c r="I13" s="1">
        <v>5.31</v>
      </c>
      <c r="J13">
        <v>148</v>
      </c>
      <c r="K13">
        <v>50</v>
      </c>
      <c r="L13">
        <v>41.643257614455699</v>
      </c>
      <c r="M13">
        <v>42</v>
      </c>
      <c r="N13">
        <v>4226.3610666666664</v>
      </c>
    </row>
    <row r="14" spans="1:14">
      <c r="A14">
        <v>5</v>
      </c>
      <c r="B14">
        <f t="shared" si="0"/>
        <v>89.86274005124082</v>
      </c>
      <c r="C14">
        <f t="shared" si="1"/>
        <v>8.3773356378278923</v>
      </c>
      <c r="D14" t="s">
        <v>87</v>
      </c>
      <c r="E14">
        <v>37</v>
      </c>
      <c r="F14">
        <v>0.93700000000000006</v>
      </c>
      <c r="G14">
        <v>49</v>
      </c>
      <c r="H14">
        <v>5.21</v>
      </c>
      <c r="I14" s="1">
        <v>1.73</v>
      </c>
      <c r="J14">
        <v>114</v>
      </c>
      <c r="K14">
        <v>48</v>
      </c>
      <c r="L14">
        <v>32.981852947135501</v>
      </c>
      <c r="M14">
        <v>31</v>
      </c>
      <c r="N14">
        <v>4212.6899999999996</v>
      </c>
    </row>
    <row r="15" spans="1:14">
      <c r="A15">
        <v>34</v>
      </c>
      <c r="B15">
        <f t="shared" si="0"/>
        <v>38.230894279067158</v>
      </c>
      <c r="C15">
        <f t="shared" si="1"/>
        <v>2.1502774921396037</v>
      </c>
      <c r="D15" t="s">
        <v>101</v>
      </c>
      <c r="E15">
        <v>15</v>
      </c>
      <c r="F15">
        <v>0.78600000000000003</v>
      </c>
      <c r="G15">
        <v>24</v>
      </c>
      <c r="H15">
        <v>1.1499999999999999</v>
      </c>
      <c r="I15" s="1">
        <v>2.23</v>
      </c>
      <c r="J15">
        <v>135</v>
      </c>
      <c r="K15">
        <v>17</v>
      </c>
      <c r="L15">
        <v>7.2348109300602994</v>
      </c>
      <c r="M15">
        <v>15</v>
      </c>
      <c r="N15">
        <v>3476.6566233333333</v>
      </c>
    </row>
    <row r="16" spans="1:14">
      <c r="A16">
        <v>20</v>
      </c>
      <c r="B16">
        <f t="shared" si="0"/>
        <v>68.285884689912791</v>
      </c>
      <c r="C16">
        <f t="shared" si="1"/>
        <v>4.2216598087007311</v>
      </c>
      <c r="D16" t="s">
        <v>83</v>
      </c>
      <c r="E16">
        <v>30</v>
      </c>
      <c r="F16">
        <v>0.91500000000000004</v>
      </c>
      <c r="G16">
        <v>27</v>
      </c>
      <c r="H16">
        <v>1.39</v>
      </c>
      <c r="I16" s="1">
        <v>3.02</v>
      </c>
      <c r="J16">
        <v>124</v>
      </c>
      <c r="K16">
        <v>41</v>
      </c>
      <c r="L16">
        <v>22.792862735383899</v>
      </c>
      <c r="M16">
        <v>12</v>
      </c>
      <c r="N16">
        <v>3251.3270700000003</v>
      </c>
    </row>
    <row r="17" spans="1:14">
      <c r="A17">
        <v>15</v>
      </c>
      <c r="B17">
        <f t="shared" si="0"/>
        <v>76.242906924167869</v>
      </c>
      <c r="C17">
        <f t="shared" si="1"/>
        <v>5.4429654021457337</v>
      </c>
      <c r="D17" t="s">
        <v>88</v>
      </c>
      <c r="E17">
        <v>33</v>
      </c>
      <c r="F17">
        <v>0.92</v>
      </c>
      <c r="G17">
        <v>36</v>
      </c>
      <c r="H17">
        <v>2.23</v>
      </c>
      <c r="I17" s="1">
        <v>4.03</v>
      </c>
      <c r="J17">
        <v>158</v>
      </c>
      <c r="K17">
        <v>40</v>
      </c>
      <c r="L17">
        <v>21.015232101962201</v>
      </c>
      <c r="M17">
        <v>40</v>
      </c>
      <c r="N17">
        <v>3195.3372966666666</v>
      </c>
    </row>
    <row r="18" spans="1:14">
      <c r="A18">
        <v>29</v>
      </c>
      <c r="B18">
        <f t="shared" si="0"/>
        <v>45.026210658360419</v>
      </c>
      <c r="C18">
        <f t="shared" si="1"/>
        <v>1.3743420478398423</v>
      </c>
      <c r="D18" t="s">
        <v>92</v>
      </c>
      <c r="E18">
        <v>19</v>
      </c>
      <c r="F18">
        <v>0.79800000000000004</v>
      </c>
      <c r="G18">
        <v>25</v>
      </c>
      <c r="H18">
        <v>1.1599999999999999</v>
      </c>
      <c r="I18" s="1">
        <v>0.67</v>
      </c>
      <c r="J18">
        <v>65</v>
      </c>
      <c r="K18">
        <v>28</v>
      </c>
      <c r="L18">
        <v>12.3679450675829</v>
      </c>
      <c r="M18">
        <v>4</v>
      </c>
      <c r="N18">
        <v>2482.4949200000001</v>
      </c>
    </row>
    <row r="19" spans="1:14">
      <c r="A19">
        <v>3</v>
      </c>
      <c r="B19">
        <f t="shared" si="0"/>
        <v>95.306119314105828</v>
      </c>
      <c r="C19">
        <f t="shared" si="1"/>
        <v>8.6706883933082093</v>
      </c>
      <c r="D19" t="s">
        <v>104</v>
      </c>
      <c r="E19">
        <v>38</v>
      </c>
      <c r="F19">
        <v>0.93799999999999994</v>
      </c>
      <c r="G19">
        <v>48</v>
      </c>
      <c r="H19">
        <v>3.59</v>
      </c>
      <c r="I19" s="1">
        <v>16.489999999999998</v>
      </c>
      <c r="J19">
        <v>168</v>
      </c>
      <c r="K19">
        <v>47</v>
      </c>
      <c r="L19">
        <v>31.647163964398001</v>
      </c>
      <c r="M19">
        <v>294</v>
      </c>
      <c r="N19">
        <v>2462.3024299999997</v>
      </c>
    </row>
    <row r="20" spans="1:14">
      <c r="A20">
        <v>31</v>
      </c>
      <c r="B20">
        <f t="shared" si="0"/>
        <v>40.477270524155294</v>
      </c>
      <c r="C20">
        <f t="shared" si="1"/>
        <v>1.419453691847463</v>
      </c>
      <c r="D20" t="s">
        <v>96</v>
      </c>
      <c r="E20">
        <v>17</v>
      </c>
      <c r="F20">
        <v>0.78900000000000003</v>
      </c>
      <c r="G20">
        <v>4</v>
      </c>
      <c r="H20">
        <v>0.27</v>
      </c>
      <c r="I20" s="1">
        <v>1.8</v>
      </c>
      <c r="J20">
        <v>80</v>
      </c>
      <c r="K20">
        <v>35</v>
      </c>
      <c r="L20">
        <v>17.041412096343599</v>
      </c>
      <c r="M20">
        <v>8</v>
      </c>
      <c r="N20">
        <v>2342.2210966666667</v>
      </c>
    </row>
    <row r="21" spans="1:14">
      <c r="A21">
        <v>10</v>
      </c>
      <c r="B21">
        <f t="shared" si="0"/>
        <v>83.766776361575623</v>
      </c>
      <c r="C21">
        <f t="shared" si="1"/>
        <v>6.7402716133045919</v>
      </c>
      <c r="D21" t="s">
        <v>90</v>
      </c>
      <c r="E21">
        <v>41</v>
      </c>
      <c r="F21">
        <v>0.94599999999999995</v>
      </c>
      <c r="G21">
        <v>40</v>
      </c>
      <c r="H21">
        <v>2.9</v>
      </c>
      <c r="I21" s="1">
        <v>4.03</v>
      </c>
      <c r="J21">
        <v>156</v>
      </c>
      <c r="K21">
        <v>34</v>
      </c>
      <c r="L21">
        <v>16.894739008150101</v>
      </c>
      <c r="M21">
        <v>32</v>
      </c>
      <c r="N21">
        <v>2339.9666666666667</v>
      </c>
    </row>
    <row r="22" spans="1:14">
      <c r="A22">
        <v>23</v>
      </c>
      <c r="B22">
        <f t="shared" si="0"/>
        <v>59.798975786959765</v>
      </c>
      <c r="C22">
        <f t="shared" si="1"/>
        <v>3.2225889005450479</v>
      </c>
      <c r="D22" t="s">
        <v>77</v>
      </c>
      <c r="E22">
        <v>28</v>
      </c>
      <c r="F22">
        <v>0.90600000000000003</v>
      </c>
      <c r="G22">
        <v>29</v>
      </c>
      <c r="H22">
        <v>1.45</v>
      </c>
      <c r="I22" s="1">
        <v>0.84</v>
      </c>
      <c r="J22">
        <v>91</v>
      </c>
      <c r="K22">
        <v>32</v>
      </c>
      <c r="L22">
        <v>15.6684295227706</v>
      </c>
      <c r="M22">
        <v>3</v>
      </c>
      <c r="N22">
        <v>2330.5994100000003</v>
      </c>
    </row>
    <row r="23" spans="1:14">
      <c r="A23">
        <v>19</v>
      </c>
      <c r="B23">
        <f t="shared" si="0"/>
        <v>68.873181366763632</v>
      </c>
      <c r="C23">
        <f t="shared" si="1"/>
        <v>5.3247809201163721</v>
      </c>
      <c r="D23" t="s">
        <v>63</v>
      </c>
      <c r="E23">
        <v>32</v>
      </c>
      <c r="F23">
        <v>0.91900000000000004</v>
      </c>
      <c r="G23">
        <v>50</v>
      </c>
      <c r="H23">
        <v>6.02</v>
      </c>
      <c r="I23" s="1">
        <v>0.41</v>
      </c>
      <c r="J23">
        <v>80</v>
      </c>
      <c r="K23">
        <v>25</v>
      </c>
      <c r="L23">
        <v>11.061808241174299</v>
      </c>
      <c r="M23">
        <v>2</v>
      </c>
      <c r="N23">
        <v>2183.3258000000001</v>
      </c>
    </row>
    <row r="24" spans="1:14">
      <c r="A24">
        <v>16</v>
      </c>
      <c r="B24">
        <f t="shared" si="0"/>
        <v>75.732221619789755</v>
      </c>
      <c r="C24">
        <f t="shared" si="1"/>
        <v>4.6850768994429401</v>
      </c>
      <c r="D24" t="s">
        <v>74</v>
      </c>
      <c r="E24">
        <v>45</v>
      </c>
      <c r="F24">
        <v>0.95799999999999996</v>
      </c>
      <c r="G24">
        <v>34</v>
      </c>
      <c r="H24">
        <v>1.86</v>
      </c>
      <c r="I24" s="1">
        <v>1.33</v>
      </c>
      <c r="J24">
        <v>85</v>
      </c>
      <c r="K24">
        <v>23</v>
      </c>
      <c r="L24">
        <v>9.3662506259214009</v>
      </c>
      <c r="M24">
        <v>13</v>
      </c>
      <c r="N24">
        <v>1854.9737633333332</v>
      </c>
    </row>
    <row r="25" spans="1:14">
      <c r="A25">
        <v>24</v>
      </c>
      <c r="B25">
        <f t="shared" si="0"/>
        <v>53.958796917989233</v>
      </c>
      <c r="C25">
        <f t="shared" si="1"/>
        <v>2.7391292734524164</v>
      </c>
      <c r="D25" t="s">
        <v>91</v>
      </c>
      <c r="E25">
        <v>24</v>
      </c>
      <c r="F25">
        <v>0.85299999999999998</v>
      </c>
      <c r="G25">
        <v>26</v>
      </c>
      <c r="H25">
        <v>1.32</v>
      </c>
      <c r="I25" s="1">
        <v>0.96</v>
      </c>
      <c r="J25">
        <v>145</v>
      </c>
      <c r="K25">
        <v>29</v>
      </c>
      <c r="L25">
        <v>12.913773539662298</v>
      </c>
      <c r="M25">
        <v>3</v>
      </c>
      <c r="N25">
        <v>1600.4566666666667</v>
      </c>
    </row>
    <row r="26" spans="1:14">
      <c r="A26">
        <v>40</v>
      </c>
      <c r="B26">
        <f t="shared" si="0"/>
        <v>25.769887835604269</v>
      </c>
      <c r="C26">
        <f t="shared" si="1"/>
        <v>1.2820033203664856</v>
      </c>
      <c r="D26" t="s">
        <v>103</v>
      </c>
      <c r="E26">
        <v>9</v>
      </c>
      <c r="F26">
        <v>0.72799999999999998</v>
      </c>
      <c r="G26">
        <v>6</v>
      </c>
      <c r="H26">
        <v>0.28000000000000003</v>
      </c>
      <c r="I26" s="1">
        <v>0.95</v>
      </c>
      <c r="J26">
        <v>92</v>
      </c>
      <c r="K26">
        <v>21</v>
      </c>
      <c r="L26">
        <v>8.3665198793604993</v>
      </c>
      <c r="M26">
        <v>3</v>
      </c>
      <c r="N26">
        <v>1528.58032</v>
      </c>
    </row>
    <row r="27" spans="1:14">
      <c r="A27">
        <v>27</v>
      </c>
      <c r="B27">
        <f t="shared" si="0"/>
        <v>47.562955448512483</v>
      </c>
      <c r="C27">
        <f t="shared" si="1"/>
        <v>1.6303916306378163</v>
      </c>
      <c r="D27" t="s">
        <v>78</v>
      </c>
      <c r="E27">
        <v>21</v>
      </c>
      <c r="F27">
        <v>0.81899999999999995</v>
      </c>
      <c r="G27">
        <v>22</v>
      </c>
      <c r="H27">
        <v>0.95</v>
      </c>
      <c r="I27" s="1">
        <v>0.75</v>
      </c>
      <c r="J27">
        <v>78</v>
      </c>
      <c r="K27">
        <v>30</v>
      </c>
      <c r="L27">
        <v>15.237377645235101</v>
      </c>
      <c r="M27">
        <v>3</v>
      </c>
      <c r="N27">
        <v>1311.6850666666667</v>
      </c>
    </row>
    <row r="28" spans="1:14">
      <c r="A28">
        <v>17</v>
      </c>
      <c r="B28">
        <f t="shared" si="0"/>
        <v>75.128606366183973</v>
      </c>
      <c r="C28">
        <f t="shared" si="1"/>
        <v>4.649489661395914</v>
      </c>
      <c r="D28" t="s">
        <v>81</v>
      </c>
      <c r="E28">
        <v>39</v>
      </c>
      <c r="F28">
        <v>0.93899999999999995</v>
      </c>
      <c r="G28">
        <v>33</v>
      </c>
      <c r="H28">
        <v>1.7</v>
      </c>
      <c r="I28" s="1">
        <v>2.2200000000000002</v>
      </c>
      <c r="J28">
        <v>98</v>
      </c>
      <c r="K28">
        <v>33</v>
      </c>
      <c r="L28">
        <v>15.9758618756626</v>
      </c>
      <c r="M28">
        <v>28</v>
      </c>
      <c r="N28">
        <v>1225.6166666666666</v>
      </c>
    </row>
    <row r="29" spans="1:14">
      <c r="A29">
        <v>22</v>
      </c>
      <c r="B29">
        <f t="shared" si="0"/>
        <v>63.759693273824745</v>
      </c>
      <c r="C29">
        <f t="shared" si="1"/>
        <v>3.8865535557589137</v>
      </c>
      <c r="D29" t="s">
        <v>82</v>
      </c>
      <c r="E29">
        <v>31</v>
      </c>
      <c r="F29">
        <v>0.91800000000000004</v>
      </c>
      <c r="G29">
        <v>28</v>
      </c>
      <c r="H29">
        <v>1.44</v>
      </c>
      <c r="I29" s="1">
        <v>1.92</v>
      </c>
      <c r="J29">
        <v>114</v>
      </c>
      <c r="K29">
        <v>31</v>
      </c>
      <c r="L29">
        <v>15.588685861924102</v>
      </c>
      <c r="M29">
        <v>14</v>
      </c>
      <c r="N29">
        <v>1150.6616633333333</v>
      </c>
    </row>
    <row r="30" spans="1:14">
      <c r="A30">
        <v>45</v>
      </c>
      <c r="B30">
        <f t="shared" si="0"/>
        <v>20.94901919876035</v>
      </c>
      <c r="C30">
        <f t="shared" si="1"/>
        <v>0.86660867966348154</v>
      </c>
      <c r="D30" t="s">
        <v>94</v>
      </c>
      <c r="E30">
        <v>8</v>
      </c>
      <c r="F30">
        <v>0.72</v>
      </c>
      <c r="G30">
        <v>8</v>
      </c>
      <c r="H30">
        <v>0.32</v>
      </c>
      <c r="I30" s="1">
        <v>0.43</v>
      </c>
      <c r="J30">
        <v>63</v>
      </c>
      <c r="K30">
        <v>15</v>
      </c>
      <c r="L30">
        <v>6.0460465317585994</v>
      </c>
      <c r="N30">
        <v>1125.2217366666666</v>
      </c>
    </row>
    <row r="31" spans="1:14">
      <c r="A31">
        <v>47</v>
      </c>
      <c r="B31">
        <f t="shared" si="0"/>
        <v>10.553302571566819</v>
      </c>
      <c r="C31">
        <f t="shared" si="1"/>
        <v>0.86663590490015197</v>
      </c>
      <c r="D31" t="s">
        <v>71</v>
      </c>
      <c r="E31">
        <v>6</v>
      </c>
      <c r="F31">
        <v>0.69499999999999995</v>
      </c>
      <c r="G31">
        <v>2</v>
      </c>
      <c r="H31">
        <v>0.04</v>
      </c>
      <c r="I31" s="1">
        <v>0.36</v>
      </c>
      <c r="J31">
        <v>71</v>
      </c>
      <c r="K31">
        <v>2</v>
      </c>
      <c r="L31">
        <v>0.21543043290643998</v>
      </c>
      <c r="N31">
        <v>1031.7866666666666</v>
      </c>
    </row>
    <row r="32" spans="1:14">
      <c r="A32">
        <v>7</v>
      </c>
      <c r="B32">
        <f t="shared" si="0"/>
        <v>87.748556888361975</v>
      </c>
      <c r="C32">
        <f t="shared" si="1"/>
        <v>6.3409929367660354</v>
      </c>
      <c r="D32" t="s">
        <v>60</v>
      </c>
      <c r="E32">
        <v>48</v>
      </c>
      <c r="F32">
        <v>0.96199999999999997</v>
      </c>
      <c r="G32">
        <v>39</v>
      </c>
      <c r="H32">
        <v>2.89</v>
      </c>
      <c r="I32" s="1">
        <v>0.71</v>
      </c>
      <c r="J32">
        <v>66</v>
      </c>
      <c r="K32">
        <v>36</v>
      </c>
      <c r="L32">
        <v>17.2289654952313</v>
      </c>
      <c r="M32">
        <v>6</v>
      </c>
      <c r="N32">
        <v>1007.7598133333333</v>
      </c>
    </row>
    <row r="33" spans="1:14">
      <c r="A33">
        <v>8</v>
      </c>
      <c r="B33">
        <f t="shared" si="0"/>
        <v>87.599990470256103</v>
      </c>
      <c r="C33">
        <f t="shared" si="1"/>
        <v>6.4076966582188426</v>
      </c>
      <c r="D33" t="s">
        <v>70</v>
      </c>
      <c r="E33">
        <v>44</v>
      </c>
      <c r="F33">
        <v>0.95499999999999996</v>
      </c>
      <c r="G33">
        <v>37</v>
      </c>
      <c r="H33">
        <v>2.2599999999999998</v>
      </c>
      <c r="I33" s="1">
        <v>1.76</v>
      </c>
      <c r="J33">
        <v>106</v>
      </c>
      <c r="K33">
        <v>42</v>
      </c>
      <c r="L33">
        <v>24.181235394198101</v>
      </c>
      <c r="M33">
        <v>17</v>
      </c>
      <c r="N33">
        <v>894.32333333333338</v>
      </c>
    </row>
    <row r="34" spans="1:14">
      <c r="A34">
        <v>36</v>
      </c>
      <c r="B34">
        <f t="shared" ref="B34:B52" si="2">E34+K34/2+G34/3+I34^0.5+J34/50+M34^0.5/10+C34</f>
        <v>32.833666902062667</v>
      </c>
      <c r="C34">
        <f t="shared" ref="C34:C52" si="3">F34^10*L34^0.3*H34^0.5*2+I34^0.5/4+J34/100+M34^0.5/50</f>
        <v>0.98376495070339121</v>
      </c>
      <c r="D34" t="s">
        <v>95</v>
      </c>
      <c r="E34">
        <v>13</v>
      </c>
      <c r="F34">
        <v>0.76600000000000001</v>
      </c>
      <c r="G34">
        <v>12</v>
      </c>
      <c r="H34">
        <v>0.42</v>
      </c>
      <c r="I34" s="1">
        <v>0.26</v>
      </c>
      <c r="J34">
        <v>67</v>
      </c>
      <c r="K34">
        <v>26</v>
      </c>
      <c r="L34">
        <v>11.241385578329401</v>
      </c>
      <c r="N34">
        <v>849</v>
      </c>
    </row>
    <row r="35" spans="1:14">
      <c r="A35">
        <v>43</v>
      </c>
      <c r="B35">
        <f t="shared" si="2"/>
        <v>22.440549096692546</v>
      </c>
      <c r="C35">
        <f t="shared" si="3"/>
        <v>1.2258083601850964</v>
      </c>
      <c r="D35" t="s">
        <v>73</v>
      </c>
      <c r="E35">
        <v>12</v>
      </c>
      <c r="F35">
        <v>0.76300000000000001</v>
      </c>
      <c r="G35">
        <v>14</v>
      </c>
      <c r="H35">
        <v>0.48</v>
      </c>
      <c r="I35" s="1">
        <v>0.42</v>
      </c>
      <c r="J35">
        <v>95</v>
      </c>
      <c r="K35">
        <v>4</v>
      </c>
      <c r="L35">
        <v>1.9831626941701999</v>
      </c>
      <c r="N35">
        <v>789.1</v>
      </c>
    </row>
    <row r="36" spans="1:14">
      <c r="A36">
        <v>30</v>
      </c>
      <c r="B36">
        <f t="shared" si="2"/>
        <v>42.144845853404767</v>
      </c>
      <c r="C36">
        <f t="shared" si="3"/>
        <v>1.4870127202315886</v>
      </c>
      <c r="D36" t="s">
        <v>68</v>
      </c>
      <c r="E36">
        <v>23</v>
      </c>
      <c r="F36">
        <v>0.84499999999999997</v>
      </c>
      <c r="G36">
        <v>13</v>
      </c>
      <c r="H36">
        <v>0.46</v>
      </c>
      <c r="I36" s="1">
        <v>0.39</v>
      </c>
      <c r="J36">
        <v>85</v>
      </c>
      <c r="K36">
        <v>22</v>
      </c>
      <c r="L36">
        <v>8.6475371829098986</v>
      </c>
      <c r="N36">
        <v>788.79673333333335</v>
      </c>
    </row>
    <row r="37" spans="1:14">
      <c r="A37">
        <v>39</v>
      </c>
      <c r="B37">
        <f t="shared" si="2"/>
        <v>25.847413775789814</v>
      </c>
      <c r="C37">
        <f t="shared" si="3"/>
        <v>1.3270217158037669</v>
      </c>
      <c r="D37" t="s">
        <v>85</v>
      </c>
      <c r="E37">
        <v>10</v>
      </c>
      <c r="F37">
        <v>0.74099999999999999</v>
      </c>
      <c r="G37">
        <v>17</v>
      </c>
      <c r="H37">
        <v>0.62</v>
      </c>
      <c r="I37" s="1">
        <v>0.63</v>
      </c>
      <c r="J37">
        <v>98</v>
      </c>
      <c r="K37">
        <v>12</v>
      </c>
      <c r="L37">
        <v>5.1602220557092</v>
      </c>
      <c r="M37">
        <v>1</v>
      </c>
      <c r="N37">
        <v>679.52333333333331</v>
      </c>
    </row>
    <row r="38" spans="1:14">
      <c r="A38">
        <v>4</v>
      </c>
      <c r="B38">
        <f t="shared" si="2"/>
        <v>91.081987016554947</v>
      </c>
      <c r="C38">
        <f t="shared" si="3"/>
        <v>6.9568060173648769</v>
      </c>
      <c r="D38" t="s">
        <v>67</v>
      </c>
      <c r="E38">
        <v>47</v>
      </c>
      <c r="F38">
        <v>0.95899999999999996</v>
      </c>
      <c r="G38">
        <v>47</v>
      </c>
      <c r="H38">
        <v>3.41</v>
      </c>
      <c r="I38" s="1">
        <v>0.91</v>
      </c>
      <c r="J38">
        <v>87</v>
      </c>
      <c r="K38">
        <v>37</v>
      </c>
      <c r="L38">
        <v>18.1260042864876</v>
      </c>
      <c r="M38">
        <v>7</v>
      </c>
      <c r="N38">
        <v>668.1633333333333</v>
      </c>
    </row>
    <row r="39" spans="1:14">
      <c r="A39">
        <v>41</v>
      </c>
      <c r="B39">
        <f t="shared" si="2"/>
        <v>24.854468713572661</v>
      </c>
      <c r="C39">
        <f t="shared" si="3"/>
        <v>0.96397017157181975</v>
      </c>
      <c r="D39" t="s">
        <v>84</v>
      </c>
      <c r="E39">
        <v>16</v>
      </c>
      <c r="F39">
        <v>0.78800000000000003</v>
      </c>
      <c r="G39">
        <v>7</v>
      </c>
      <c r="H39">
        <v>0.28999999999999998</v>
      </c>
      <c r="I39" s="1">
        <v>0.43</v>
      </c>
      <c r="J39">
        <v>63</v>
      </c>
      <c r="K39">
        <v>7</v>
      </c>
      <c r="L39">
        <v>3.2616624889109</v>
      </c>
      <c r="M39">
        <v>2</v>
      </c>
      <c r="N39">
        <v>662.88110333333339</v>
      </c>
    </row>
    <row r="40" spans="1:14">
      <c r="A40">
        <v>32</v>
      </c>
      <c r="B40">
        <f t="shared" si="2"/>
        <v>39.945035732157933</v>
      </c>
      <c r="C40">
        <f t="shared" si="3"/>
        <v>1.4434261457947706</v>
      </c>
      <c r="D40" t="s">
        <v>69</v>
      </c>
      <c r="E40">
        <v>26</v>
      </c>
      <c r="F40">
        <v>0.878</v>
      </c>
      <c r="G40">
        <v>10</v>
      </c>
      <c r="H40">
        <v>0.36</v>
      </c>
      <c r="I40" s="1">
        <v>0.37</v>
      </c>
      <c r="J40">
        <v>73</v>
      </c>
      <c r="K40">
        <v>14</v>
      </c>
      <c r="L40">
        <v>5.3850704952274997</v>
      </c>
      <c r="M40">
        <v>1</v>
      </c>
      <c r="N40">
        <v>611.04382666666663</v>
      </c>
    </row>
    <row r="41" spans="1:14">
      <c r="A41">
        <v>37</v>
      </c>
      <c r="B41">
        <f t="shared" si="2"/>
        <v>27.262507131168999</v>
      </c>
      <c r="C41">
        <f t="shared" si="3"/>
        <v>1.5400966120721327</v>
      </c>
      <c r="D41" t="s">
        <v>89</v>
      </c>
      <c r="E41">
        <v>11</v>
      </c>
      <c r="F41">
        <v>0.754</v>
      </c>
      <c r="G41">
        <v>23</v>
      </c>
      <c r="H41">
        <v>1.03</v>
      </c>
      <c r="I41" s="1">
        <v>0.43</v>
      </c>
      <c r="J41">
        <v>120</v>
      </c>
      <c r="K41">
        <v>8</v>
      </c>
      <c r="L41">
        <v>3.5412461559455002</v>
      </c>
      <c r="N41">
        <v>555.31833333333338</v>
      </c>
    </row>
    <row r="42" spans="1:14">
      <c r="A42">
        <v>42</v>
      </c>
      <c r="B42">
        <f t="shared" si="2"/>
        <v>23.639700077714316</v>
      </c>
      <c r="C42">
        <f t="shared" si="3"/>
        <v>1.1839562252841185</v>
      </c>
      <c r="D42" t="s">
        <v>79</v>
      </c>
      <c r="E42">
        <v>14</v>
      </c>
      <c r="F42">
        <v>0.77900000000000003</v>
      </c>
      <c r="G42">
        <v>9</v>
      </c>
      <c r="H42">
        <v>0.33</v>
      </c>
      <c r="I42" s="1">
        <v>0.43</v>
      </c>
      <c r="J42">
        <v>90</v>
      </c>
      <c r="K42">
        <v>6</v>
      </c>
      <c r="L42">
        <v>2.2146754729914999</v>
      </c>
      <c r="N42">
        <v>473.27210000000002</v>
      </c>
    </row>
    <row r="43" spans="1:14">
      <c r="A43">
        <v>6</v>
      </c>
      <c r="B43">
        <f t="shared" si="2"/>
        <v>89.847843014425322</v>
      </c>
      <c r="C43">
        <f t="shared" si="3"/>
        <v>7.5729128997555399</v>
      </c>
      <c r="D43" t="s">
        <v>66</v>
      </c>
      <c r="E43">
        <v>43</v>
      </c>
      <c r="F43">
        <v>0.95099999999999996</v>
      </c>
      <c r="G43">
        <v>46</v>
      </c>
      <c r="H43">
        <v>3.41</v>
      </c>
      <c r="I43" s="1">
        <v>1.3</v>
      </c>
      <c r="J43">
        <v>183</v>
      </c>
      <c r="K43">
        <v>38</v>
      </c>
      <c r="L43">
        <v>19.283278728685797</v>
      </c>
      <c r="M43">
        <v>2</v>
      </c>
      <c r="N43">
        <v>466.03984333333335</v>
      </c>
    </row>
    <row r="44" spans="1:14">
      <c r="A44">
        <v>13</v>
      </c>
      <c r="B44">
        <f t="shared" si="2"/>
        <v>77.550566667294163</v>
      </c>
      <c r="C44">
        <f t="shared" si="3"/>
        <v>5.3173615865372712</v>
      </c>
      <c r="D44" t="s">
        <v>64</v>
      </c>
      <c r="E44">
        <v>36</v>
      </c>
      <c r="F44">
        <v>0.93</v>
      </c>
      <c r="G44">
        <v>42</v>
      </c>
      <c r="H44">
        <v>3.2</v>
      </c>
      <c r="I44" s="1">
        <v>0.81</v>
      </c>
      <c r="J44">
        <v>83</v>
      </c>
      <c r="K44">
        <v>39</v>
      </c>
      <c r="L44">
        <v>19.599245321742</v>
      </c>
      <c r="M44">
        <v>3</v>
      </c>
      <c r="N44">
        <v>407.55498666666665</v>
      </c>
    </row>
    <row r="45" spans="1:14">
      <c r="A45">
        <v>44</v>
      </c>
      <c r="B45">
        <f t="shared" si="2"/>
        <v>21.959798901825497</v>
      </c>
      <c r="C45">
        <f t="shared" si="3"/>
        <v>1.188207998996581</v>
      </c>
      <c r="D45" t="s">
        <v>72</v>
      </c>
      <c r="E45">
        <v>7</v>
      </c>
      <c r="F45">
        <v>0.71</v>
      </c>
      <c r="G45">
        <v>19</v>
      </c>
      <c r="H45">
        <v>0.66</v>
      </c>
      <c r="I45" s="1">
        <v>0.21</v>
      </c>
      <c r="J45">
        <v>99</v>
      </c>
      <c r="K45">
        <v>10</v>
      </c>
      <c r="L45">
        <v>4.6077722061847997</v>
      </c>
      <c r="N45">
        <v>406.62385333333333</v>
      </c>
    </row>
    <row r="46" spans="1:14">
      <c r="A46">
        <v>48</v>
      </c>
      <c r="B46">
        <f t="shared" si="2"/>
        <v>9.771384932354561</v>
      </c>
      <c r="C46">
        <f t="shared" si="3"/>
        <v>1.0836080105950956</v>
      </c>
      <c r="D46" t="s">
        <v>102</v>
      </c>
      <c r="E46">
        <v>3</v>
      </c>
      <c r="F46">
        <v>0.56000000000000005</v>
      </c>
      <c r="G46">
        <v>5</v>
      </c>
      <c r="H46">
        <v>0.28000000000000003</v>
      </c>
      <c r="I46" s="1">
        <v>0.52</v>
      </c>
      <c r="J46">
        <v>90</v>
      </c>
      <c r="K46">
        <v>3</v>
      </c>
      <c r="L46">
        <v>1.1307781478143999</v>
      </c>
      <c r="N46">
        <v>332.33333333333331</v>
      </c>
    </row>
    <row r="47" spans="1:14">
      <c r="A47">
        <v>33</v>
      </c>
      <c r="B47">
        <f t="shared" si="2"/>
        <v>39.685797787062363</v>
      </c>
      <c r="C47">
        <f t="shared" si="3"/>
        <v>1.6333939465987655</v>
      </c>
      <c r="D47" t="s">
        <v>80</v>
      </c>
      <c r="E47">
        <v>25</v>
      </c>
      <c r="F47">
        <v>0.86499999999999999</v>
      </c>
      <c r="G47">
        <v>15</v>
      </c>
      <c r="H47">
        <v>0.55000000000000004</v>
      </c>
      <c r="I47" s="1">
        <v>0.66</v>
      </c>
      <c r="J47">
        <v>87</v>
      </c>
      <c r="K47">
        <v>11</v>
      </c>
      <c r="L47">
        <v>4.8993963059742995</v>
      </c>
      <c r="N47">
        <v>312.69059666666669</v>
      </c>
    </row>
    <row r="48" spans="1:14">
      <c r="A48">
        <v>46</v>
      </c>
      <c r="B48">
        <f t="shared" si="2"/>
        <v>15.562883688440746</v>
      </c>
      <c r="C48">
        <f t="shared" si="3"/>
        <v>0.74631907321744495</v>
      </c>
      <c r="D48" t="s">
        <v>99</v>
      </c>
      <c r="E48">
        <v>5</v>
      </c>
      <c r="F48">
        <v>0.68500000000000005</v>
      </c>
      <c r="G48">
        <v>11</v>
      </c>
      <c r="H48">
        <v>0.4</v>
      </c>
      <c r="I48" s="1">
        <v>0.24</v>
      </c>
      <c r="J48">
        <v>58</v>
      </c>
      <c r="K48">
        <v>9</v>
      </c>
      <c r="L48">
        <v>4.0722480797441003</v>
      </c>
      <c r="N48">
        <v>288.45</v>
      </c>
    </row>
    <row r="49" spans="1:14">
      <c r="A49">
        <v>49</v>
      </c>
      <c r="B49">
        <f t="shared" si="2"/>
        <v>8.9919765058165986</v>
      </c>
      <c r="C49">
        <f t="shared" si="3"/>
        <v>1.0562326533863973</v>
      </c>
      <c r="D49" t="s">
        <v>100</v>
      </c>
      <c r="E49">
        <v>2</v>
      </c>
      <c r="F49">
        <v>0.54400000000000004</v>
      </c>
      <c r="G49">
        <v>3</v>
      </c>
      <c r="H49">
        <v>0.16</v>
      </c>
      <c r="I49" s="1">
        <v>0.43</v>
      </c>
      <c r="J49">
        <v>89</v>
      </c>
      <c r="K49">
        <v>5</v>
      </c>
      <c r="L49">
        <v>2.1881553943332999</v>
      </c>
      <c r="N49">
        <v>233.86666666666667</v>
      </c>
    </row>
    <row r="50" spans="1:14">
      <c r="A50">
        <v>35</v>
      </c>
      <c r="B50">
        <f t="shared" si="2"/>
        <v>37.389016879125293</v>
      </c>
      <c r="C50">
        <f t="shared" si="3"/>
        <v>1.462117685754367</v>
      </c>
      <c r="D50" t="s">
        <v>86</v>
      </c>
      <c r="E50">
        <v>20</v>
      </c>
      <c r="F50">
        <v>0.79900000000000004</v>
      </c>
      <c r="G50">
        <v>20</v>
      </c>
      <c r="H50">
        <v>0.73</v>
      </c>
      <c r="I50" s="1">
        <v>0.74</v>
      </c>
      <c r="J50">
        <v>95</v>
      </c>
      <c r="K50">
        <v>13</v>
      </c>
      <c r="L50">
        <v>5.1953445291860003</v>
      </c>
      <c r="N50">
        <v>228.66666666666666</v>
      </c>
    </row>
    <row r="51" spans="1:14">
      <c r="A51">
        <v>25</v>
      </c>
      <c r="B51">
        <f t="shared" si="2"/>
        <v>52.180378698992648</v>
      </c>
      <c r="C51">
        <f t="shared" si="3"/>
        <v>2.6662358561383543</v>
      </c>
      <c r="D51" t="s">
        <v>62</v>
      </c>
      <c r="E51">
        <v>29</v>
      </c>
      <c r="F51">
        <v>0.90800000000000003</v>
      </c>
      <c r="G51">
        <v>30</v>
      </c>
      <c r="H51">
        <v>1.49</v>
      </c>
      <c r="I51" s="1">
        <v>0.51</v>
      </c>
      <c r="J51">
        <v>85</v>
      </c>
      <c r="K51">
        <v>16</v>
      </c>
      <c r="L51">
        <v>6.3297714842146995</v>
      </c>
      <c r="M51">
        <v>1</v>
      </c>
      <c r="N51">
        <v>179.68666666666667</v>
      </c>
    </row>
    <row r="52" spans="1:14">
      <c r="A52">
        <v>50</v>
      </c>
      <c r="B52">
        <f t="shared" si="2"/>
        <v>3.0983333333433571</v>
      </c>
      <c r="C52">
        <f t="shared" si="3"/>
        <v>0.40500000001002373</v>
      </c>
      <c r="D52" t="s">
        <v>76</v>
      </c>
      <c r="E52">
        <v>1</v>
      </c>
      <c r="F52">
        <v>0.1</v>
      </c>
      <c r="G52">
        <v>1</v>
      </c>
      <c r="H52">
        <v>0.01</v>
      </c>
      <c r="I52" s="1">
        <v>0.01</v>
      </c>
      <c r="J52">
        <v>38</v>
      </c>
      <c r="K52">
        <v>1</v>
      </c>
      <c r="L52">
        <v>0.1</v>
      </c>
      <c r="N52">
        <v>0</v>
      </c>
    </row>
  </sheetData>
  <sortState xmlns:xlrd2="http://schemas.microsoft.com/office/spreadsheetml/2017/richdata2" ref="A2:N52">
    <sortCondition descending="1" ref="N2:N52"/>
  </sortState>
  <phoneticPr fontId="1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A444D-D7B7-447A-AC43-1284E0564D5B}">
  <dimension ref="A1:AV52"/>
  <sheetViews>
    <sheetView zoomScale="110" zoomScaleNormal="110" workbookViewId="0">
      <pane ySplit="1" topLeftCell="A2" activePane="bottomLeft" state="frozen"/>
      <selection pane="bottomLeft" activeCell="N17" sqref="N17"/>
    </sheetView>
  </sheetViews>
  <sheetFormatPr defaultRowHeight="13.9"/>
  <cols>
    <col min="1" max="1" width="5.06640625" customWidth="1"/>
    <col min="2" max="2" width="10" customWidth="1"/>
    <col min="3" max="3" width="4.59765625" customWidth="1"/>
    <col min="4" max="4" width="5.06640625" customWidth="1"/>
    <col min="5" max="5" width="8.796875" bestFit="1" customWidth="1"/>
    <col min="6" max="6" width="5.06640625" customWidth="1"/>
    <col min="7" max="7" width="8.796875" customWidth="1"/>
    <col min="8" max="8" width="5.06640625" customWidth="1"/>
    <col min="9" max="9" width="9.73046875" customWidth="1"/>
    <col min="10" max="10" width="5.06640625" customWidth="1"/>
    <col min="11" max="11" width="8.796875" bestFit="1" customWidth="1"/>
    <col min="12" max="12" width="5.06640625" customWidth="1"/>
    <col min="13" max="13" width="8.796875" bestFit="1" customWidth="1"/>
    <col min="14" max="14" width="5.06640625" customWidth="1"/>
    <col min="15" max="15" width="6.265625" customWidth="1"/>
    <col min="16" max="16" width="5.06640625" customWidth="1"/>
    <col min="17" max="17" width="8.796875" bestFit="1" customWidth="1"/>
    <col min="18" max="18" width="7.59765625" customWidth="1"/>
    <col min="19" max="19" width="5.06640625" customWidth="1"/>
    <col min="20" max="20" width="8.796875" bestFit="1" customWidth="1"/>
    <col min="21" max="21" width="5.06640625" customWidth="1"/>
    <col min="22" max="22" width="10.1328125" customWidth="1"/>
    <col min="23" max="23" width="12.59765625" bestFit="1" customWidth="1"/>
    <col min="24" max="33" width="8.796875" bestFit="1" customWidth="1"/>
  </cols>
  <sheetData>
    <row r="1" spans="1:48" s="13" customFormat="1">
      <c r="A1" s="15" t="s">
        <v>220</v>
      </c>
      <c r="B1" s="15" t="s">
        <v>196</v>
      </c>
      <c r="C1" s="15"/>
      <c r="D1" s="15" t="s">
        <v>221</v>
      </c>
      <c r="E1" s="15" t="s">
        <v>222</v>
      </c>
      <c r="F1" s="15" t="s">
        <v>223</v>
      </c>
      <c r="G1" s="15" t="s">
        <v>224</v>
      </c>
      <c r="H1" s="15" t="s">
        <v>225</v>
      </c>
      <c r="I1" s="15" t="s">
        <v>226</v>
      </c>
      <c r="J1" s="15" t="s">
        <v>227</v>
      </c>
      <c r="K1" s="15" t="s">
        <v>228</v>
      </c>
      <c r="L1" s="15" t="s">
        <v>229</v>
      </c>
      <c r="M1" s="15" t="s">
        <v>230</v>
      </c>
      <c r="N1" s="15" t="s">
        <v>231</v>
      </c>
      <c r="O1" s="15" t="s">
        <v>232</v>
      </c>
      <c r="P1" s="15" t="s">
        <v>233</v>
      </c>
      <c r="Q1" s="15" t="s">
        <v>234</v>
      </c>
      <c r="R1" s="15" t="s">
        <v>235</v>
      </c>
      <c r="S1" s="15" t="s">
        <v>236</v>
      </c>
      <c r="T1" s="15" t="s">
        <v>237</v>
      </c>
      <c r="U1" s="15" t="s">
        <v>238</v>
      </c>
      <c r="V1" s="15" t="s">
        <v>239</v>
      </c>
      <c r="W1" s="13" t="s">
        <v>58</v>
      </c>
      <c r="X1" s="14">
        <v>2024</v>
      </c>
      <c r="Y1" s="14">
        <v>2023</v>
      </c>
      <c r="Z1" s="14">
        <v>2022</v>
      </c>
      <c r="AA1" s="14">
        <v>2021</v>
      </c>
      <c r="AB1" s="14">
        <v>2020</v>
      </c>
      <c r="AC1" s="14">
        <v>2019</v>
      </c>
      <c r="AD1" s="14">
        <v>2018</v>
      </c>
      <c r="AE1" s="14">
        <v>2017</v>
      </c>
      <c r="AF1" s="14">
        <v>2016</v>
      </c>
      <c r="AG1" s="14">
        <v>2015</v>
      </c>
      <c r="AH1" s="13" t="s">
        <v>161</v>
      </c>
      <c r="AI1" s="13" t="s">
        <v>162</v>
      </c>
      <c r="AJ1" s="13" t="s">
        <v>163</v>
      </c>
      <c r="AK1" s="13" t="s">
        <v>164</v>
      </c>
      <c r="AL1" s="13" t="s">
        <v>165</v>
      </c>
      <c r="AM1" s="13" t="s">
        <v>166</v>
      </c>
    </row>
    <row r="2" spans="1:48">
      <c r="A2">
        <v>2.5</v>
      </c>
      <c r="B2" t="s">
        <v>185</v>
      </c>
      <c r="C2" s="1">
        <f t="shared" ref="C2:C33" si="0">D2*0.2+F2*0.2+H2*0.1+J2*0.2+L2*0.15+N2*0.05+P2*0.04+S2*0.03+U2*0.03</f>
        <v>2.7700000000000005</v>
      </c>
      <c r="D2">
        <v>2.5</v>
      </c>
      <c r="E2">
        <v>28138.125</v>
      </c>
      <c r="F2">
        <v>1.5</v>
      </c>
      <c r="G2">
        <v>19337.55</v>
      </c>
      <c r="H2">
        <v>1.5</v>
      </c>
      <c r="I2">
        <v>188413.77069</v>
      </c>
      <c r="J2">
        <v>0.5</v>
      </c>
      <c r="K2">
        <v>127888.84965400001</v>
      </c>
      <c r="L2">
        <v>1.5</v>
      </c>
      <c r="M2">
        <v>136382.10347900001</v>
      </c>
      <c r="N2">
        <v>2.5</v>
      </c>
      <c r="O2">
        <v>2785</v>
      </c>
      <c r="P2">
        <v>30.5</v>
      </c>
      <c r="Q2">
        <f t="shared" ref="Q2:Q33" si="1">(1+0.01*X2)*(1+0.01*Y2)*(1+0.01*Z2)*(1+0.01*AA2)*(1+0.01*AB2)*(1+0.01*AC2)*(1+0.01*AD2)*(1+0.01*AE2)*(1+0.01*AF2)*(1+0.01*AG2)</f>
        <v>1.1922796927970944</v>
      </c>
      <c r="R2">
        <f t="shared" ref="R2:R33" si="2">SUM(X2:AG2)</f>
        <v>18.158000000000001</v>
      </c>
      <c r="S2">
        <v>2.5</v>
      </c>
      <c r="T2">
        <v>218.85</v>
      </c>
      <c r="U2">
        <v>2.5</v>
      </c>
      <c r="V2">
        <v>450646975</v>
      </c>
      <c r="X2" s="1">
        <v>1.1160000000000001</v>
      </c>
      <c r="Y2" s="1">
        <v>0.59599999999999997</v>
      </c>
      <c r="Z2" s="1">
        <v>3.6680000000000001</v>
      </c>
      <c r="AA2" s="1">
        <v>6.4210000000000003</v>
      </c>
      <c r="AB2" s="1">
        <v>-5.5140000000000002</v>
      </c>
      <c r="AC2" s="1">
        <v>2.044</v>
      </c>
      <c r="AD2" s="1">
        <v>2.2829999999999999</v>
      </c>
      <c r="AE2" s="1">
        <v>3.0190000000000001</v>
      </c>
      <c r="AF2" s="1">
        <v>1.992</v>
      </c>
      <c r="AG2" s="1">
        <v>2.5329999999999999</v>
      </c>
    </row>
    <row r="3" spans="1:48">
      <c r="A3">
        <v>1</v>
      </c>
      <c r="B3" s="1" t="s">
        <v>106</v>
      </c>
      <c r="C3" s="1">
        <f t="shared" si="0"/>
        <v>1.45</v>
      </c>
      <c r="D3">
        <v>1</v>
      </c>
      <c r="E3">
        <f t="shared" ref="E3:E34" si="3">AVERAGE(AH3:AJ3)</f>
        <v>38319.696666666663</v>
      </c>
      <c r="F3">
        <v>2</v>
      </c>
      <c r="G3">
        <f t="shared" ref="G3:G34" si="4">AVERAGE(AK3:AM3)</f>
        <v>18979.431666666667</v>
      </c>
      <c r="H3">
        <v>2</v>
      </c>
      <c r="I3">
        <f t="shared" ref="I3:I34" si="5">W3*1.1903/1000000000</f>
        <v>139057.98779999997</v>
      </c>
      <c r="J3">
        <v>1</v>
      </c>
      <c r="K3">
        <v>124547.123895</v>
      </c>
      <c r="L3">
        <v>1</v>
      </c>
      <c r="M3">
        <v>195644.429</v>
      </c>
      <c r="N3">
        <v>1</v>
      </c>
      <c r="O3">
        <v>9443.07</v>
      </c>
      <c r="P3">
        <v>4</v>
      </c>
      <c r="Q3">
        <f t="shared" si="1"/>
        <v>1.728800791585378</v>
      </c>
      <c r="R3">
        <f t="shared" si="2"/>
        <v>56.439</v>
      </c>
      <c r="S3">
        <v>1</v>
      </c>
      <c r="T3">
        <v>734.39</v>
      </c>
      <c r="U3">
        <v>2</v>
      </c>
      <c r="V3">
        <v>1408280000</v>
      </c>
      <c r="W3">
        <v>116826000000000</v>
      </c>
      <c r="X3" s="1">
        <v>4</v>
      </c>
      <c r="Y3" s="1">
        <v>5.24</v>
      </c>
      <c r="Z3" s="1">
        <v>2.9889999999999999</v>
      </c>
      <c r="AA3" s="1">
        <v>8.4499999999999993</v>
      </c>
      <c r="AB3" s="1">
        <v>2.242</v>
      </c>
      <c r="AC3" s="1">
        <v>5.9509999999999996</v>
      </c>
      <c r="AD3" s="1">
        <v>6.7510000000000003</v>
      </c>
      <c r="AE3" s="1">
        <v>6.9470000000000001</v>
      </c>
      <c r="AF3" s="1">
        <v>6.851</v>
      </c>
      <c r="AG3" s="1">
        <v>7.0179999999999998</v>
      </c>
      <c r="AH3">
        <v>35507.589999999997</v>
      </c>
      <c r="AI3">
        <v>38209.548999999999</v>
      </c>
      <c r="AJ3">
        <v>41241.951000000001</v>
      </c>
      <c r="AK3">
        <v>18366.936000000002</v>
      </c>
      <c r="AL3">
        <v>18945.112000000001</v>
      </c>
      <c r="AM3">
        <v>19626.246999999999</v>
      </c>
    </row>
    <row r="4" spans="1:48">
      <c r="A4">
        <v>2</v>
      </c>
      <c r="B4" s="1" t="s">
        <v>104</v>
      </c>
      <c r="C4" s="1">
        <f t="shared" si="0"/>
        <v>2.6</v>
      </c>
      <c r="D4">
        <v>2</v>
      </c>
      <c r="E4">
        <f t="shared" si="3"/>
        <v>29292.2</v>
      </c>
      <c r="F4">
        <v>1</v>
      </c>
      <c r="G4">
        <f t="shared" si="4"/>
        <v>29292.2</v>
      </c>
      <c r="H4">
        <v>1</v>
      </c>
      <c r="I4">
        <f t="shared" si="5"/>
        <v>311172.98719999997</v>
      </c>
      <c r="J4">
        <v>2</v>
      </c>
      <c r="K4">
        <v>100714.5224975</v>
      </c>
      <c r="L4">
        <v>2</v>
      </c>
      <c r="M4">
        <v>92000.93</v>
      </c>
      <c r="N4">
        <v>2</v>
      </c>
      <c r="O4">
        <v>4272.91</v>
      </c>
      <c r="P4">
        <v>23</v>
      </c>
      <c r="Q4">
        <f t="shared" si="1"/>
        <v>1.2485034720680774</v>
      </c>
      <c r="R4">
        <f t="shared" si="2"/>
        <v>22.611000000000001</v>
      </c>
      <c r="S4">
        <v>3</v>
      </c>
      <c r="T4">
        <v>163.39400000000001</v>
      </c>
      <c r="U4">
        <v>3</v>
      </c>
      <c r="V4">
        <v>340110988</v>
      </c>
      <c r="W4">
        <v>261424000000000</v>
      </c>
      <c r="X4" s="1">
        <v>1.8</v>
      </c>
      <c r="Y4" s="1">
        <v>2.5310000000000001</v>
      </c>
      <c r="Z4" s="1">
        <v>1.9359999999999999</v>
      </c>
      <c r="AA4" s="1">
        <v>5.8</v>
      </c>
      <c r="AB4" s="1">
        <v>-2.214</v>
      </c>
      <c r="AC4" s="1">
        <v>2.4670000000000001</v>
      </c>
      <c r="AD4" s="1">
        <v>2.9670000000000001</v>
      </c>
      <c r="AE4" s="1">
        <v>2.4580000000000002</v>
      </c>
      <c r="AF4" s="1">
        <v>1.92</v>
      </c>
      <c r="AG4" s="1">
        <v>2.9460000000000002</v>
      </c>
      <c r="AH4">
        <v>27811.5</v>
      </c>
      <c r="AI4">
        <v>29298.025000000001</v>
      </c>
      <c r="AJ4">
        <v>30767.075000000001</v>
      </c>
      <c r="AK4">
        <v>27811.5</v>
      </c>
      <c r="AL4">
        <v>29298.025000000001</v>
      </c>
      <c r="AM4">
        <v>30767.075000000001</v>
      </c>
    </row>
    <row r="5" spans="1:48">
      <c r="A5">
        <v>3</v>
      </c>
      <c r="B5" s="1" t="s">
        <v>105</v>
      </c>
      <c r="C5" s="1">
        <f t="shared" si="0"/>
        <v>4.1099999999999994</v>
      </c>
      <c r="D5">
        <v>3</v>
      </c>
      <c r="E5">
        <f t="shared" si="3"/>
        <v>15686.380333333334</v>
      </c>
      <c r="F5">
        <v>5</v>
      </c>
      <c r="G5">
        <f t="shared" si="4"/>
        <v>3726.0106666666666</v>
      </c>
      <c r="H5">
        <v>7</v>
      </c>
      <c r="I5">
        <f t="shared" si="5"/>
        <v>26813.8881</v>
      </c>
      <c r="J5">
        <v>5</v>
      </c>
      <c r="K5">
        <v>21814.788377500001</v>
      </c>
      <c r="L5">
        <v>3</v>
      </c>
      <c r="M5">
        <v>58960.925999999999</v>
      </c>
      <c r="N5">
        <v>3</v>
      </c>
      <c r="O5">
        <v>1956.55</v>
      </c>
      <c r="P5">
        <v>3</v>
      </c>
      <c r="Q5">
        <f t="shared" si="1"/>
        <v>1.7514041674943426</v>
      </c>
      <c r="R5">
        <f t="shared" si="2"/>
        <v>58.497999999999998</v>
      </c>
      <c r="S5">
        <v>2</v>
      </c>
      <c r="T5">
        <v>678</v>
      </c>
      <c r="U5">
        <v>1</v>
      </c>
      <c r="V5">
        <v>1417492000</v>
      </c>
      <c r="W5">
        <v>22527000000000</v>
      </c>
      <c r="X5" s="1">
        <v>6.4</v>
      </c>
      <c r="Y5" s="1">
        <v>7.827</v>
      </c>
      <c r="Z5" s="1">
        <v>6.9870000000000001</v>
      </c>
      <c r="AA5" s="1">
        <v>9.69</v>
      </c>
      <c r="AB5" s="1">
        <v>-5.7779999999999996</v>
      </c>
      <c r="AC5" s="1">
        <v>3.871</v>
      </c>
      <c r="AD5" s="1">
        <v>6.4539999999999997</v>
      </c>
      <c r="AE5" s="1">
        <v>6.7949999999999999</v>
      </c>
      <c r="AF5" s="1">
        <v>8.2560000000000002</v>
      </c>
      <c r="AG5" s="1">
        <v>7.9960000000000004</v>
      </c>
      <c r="AH5">
        <v>14207.444</v>
      </c>
      <c r="AI5">
        <v>15593.814</v>
      </c>
      <c r="AJ5">
        <v>17257.883000000002</v>
      </c>
      <c r="AK5">
        <v>3500.9059999999999</v>
      </c>
      <c r="AL5">
        <v>3760.8139999999999</v>
      </c>
      <c r="AM5">
        <v>3916.3119999999999</v>
      </c>
    </row>
    <row r="6" spans="1:48">
      <c r="A6">
        <v>4</v>
      </c>
      <c r="B6" s="1" t="s">
        <v>97</v>
      </c>
      <c r="C6" s="1">
        <f t="shared" si="0"/>
        <v>6.25</v>
      </c>
      <c r="D6">
        <v>5</v>
      </c>
      <c r="E6">
        <f t="shared" si="3"/>
        <v>6777.9746666666661</v>
      </c>
      <c r="F6">
        <v>4</v>
      </c>
      <c r="G6">
        <f t="shared" si="4"/>
        <v>4336.6750000000002</v>
      </c>
      <c r="H6">
        <v>3</v>
      </c>
      <c r="I6">
        <f t="shared" si="5"/>
        <v>74288.170389999999</v>
      </c>
      <c r="J6">
        <v>3</v>
      </c>
      <c r="K6">
        <v>36140.681015000002</v>
      </c>
      <c r="L6">
        <v>5</v>
      </c>
      <c r="M6">
        <v>34278.677000000003</v>
      </c>
      <c r="N6">
        <v>5</v>
      </c>
      <c r="O6">
        <v>1013.26</v>
      </c>
      <c r="P6">
        <v>48</v>
      </c>
      <c r="Q6">
        <f t="shared" si="1"/>
        <v>1.0612647543247382</v>
      </c>
      <c r="R6">
        <f t="shared" si="2"/>
        <v>6.1229999999999993</v>
      </c>
      <c r="S6">
        <v>10</v>
      </c>
      <c r="T6">
        <v>68.31</v>
      </c>
      <c r="U6">
        <v>11</v>
      </c>
      <c r="V6">
        <v>123300000</v>
      </c>
      <c r="W6">
        <v>62411300000000</v>
      </c>
      <c r="X6" s="1">
        <v>0.6</v>
      </c>
      <c r="Y6" s="1">
        <v>1.923</v>
      </c>
      <c r="Z6" s="1">
        <v>0.95699999999999996</v>
      </c>
      <c r="AA6" s="1">
        <v>2.5590000000000002</v>
      </c>
      <c r="AB6" s="1">
        <v>-4.1470000000000002</v>
      </c>
      <c r="AC6" s="1">
        <v>-0.40200000000000002</v>
      </c>
      <c r="AD6" s="1">
        <v>0.64300000000000002</v>
      </c>
      <c r="AE6" s="1">
        <v>1.675</v>
      </c>
      <c r="AF6" s="1">
        <v>0.754</v>
      </c>
      <c r="AG6" s="1">
        <v>1.5609999999999999</v>
      </c>
      <c r="AH6">
        <v>6588.598</v>
      </c>
      <c r="AI6">
        <v>6735.8010000000004</v>
      </c>
      <c r="AJ6">
        <v>7009.5249999999996</v>
      </c>
      <c r="AK6">
        <v>4384.8540000000003</v>
      </c>
      <c r="AL6">
        <v>4190.0079999999998</v>
      </c>
      <c r="AM6">
        <v>4435.1629999999996</v>
      </c>
    </row>
    <row r="7" spans="1:48">
      <c r="A7">
        <v>5</v>
      </c>
      <c r="B7" s="1" t="s">
        <v>93</v>
      </c>
      <c r="C7" s="1">
        <f t="shared" si="0"/>
        <v>7.34</v>
      </c>
      <c r="D7">
        <v>6</v>
      </c>
      <c r="E7">
        <f t="shared" si="3"/>
        <v>6019.126666666667</v>
      </c>
      <c r="F7">
        <v>3</v>
      </c>
      <c r="G7">
        <f t="shared" si="4"/>
        <v>4765.2546666666667</v>
      </c>
      <c r="H7">
        <v>4</v>
      </c>
      <c r="I7">
        <f t="shared" si="5"/>
        <v>56873.605269999993</v>
      </c>
      <c r="J7">
        <v>4</v>
      </c>
      <c r="K7">
        <v>31182.664010000004</v>
      </c>
      <c r="L7">
        <v>8</v>
      </c>
      <c r="M7">
        <v>23903.485000000001</v>
      </c>
      <c r="N7">
        <v>9</v>
      </c>
      <c r="O7">
        <v>505.76</v>
      </c>
      <c r="P7">
        <v>44</v>
      </c>
      <c r="Q7">
        <f t="shared" si="1"/>
        <v>1.0927375865530546</v>
      </c>
      <c r="R7">
        <f t="shared" si="2"/>
        <v>9.0910000000000011</v>
      </c>
      <c r="S7">
        <v>14</v>
      </c>
      <c r="T7">
        <v>45.841999999999999</v>
      </c>
      <c r="U7">
        <v>17</v>
      </c>
      <c r="V7">
        <v>83517030</v>
      </c>
      <c r="W7">
        <v>47780900000000</v>
      </c>
      <c r="X7" s="1">
        <v>-0.2</v>
      </c>
      <c r="Y7" s="1">
        <v>-0.30499999999999999</v>
      </c>
      <c r="Z7" s="1">
        <v>1.804</v>
      </c>
      <c r="AA7" s="1">
        <v>3.169</v>
      </c>
      <c r="AB7" s="1">
        <v>-3.8290000000000002</v>
      </c>
      <c r="AC7" s="1">
        <v>1.071</v>
      </c>
      <c r="AD7" s="1">
        <v>0.98399999999999999</v>
      </c>
      <c r="AE7" s="1">
        <v>2.68</v>
      </c>
      <c r="AF7" s="1">
        <v>2.23</v>
      </c>
      <c r="AG7" s="1">
        <v>1.4870000000000001</v>
      </c>
      <c r="AH7">
        <v>5880.1109999999999</v>
      </c>
      <c r="AI7">
        <v>5996.1959999999999</v>
      </c>
      <c r="AJ7">
        <v>6181.0730000000003</v>
      </c>
      <c r="AK7">
        <v>4563.5230000000001</v>
      </c>
      <c r="AL7">
        <v>4684.1819999999998</v>
      </c>
      <c r="AM7">
        <v>5048.0590000000002</v>
      </c>
    </row>
    <row r="8" spans="1:48">
      <c r="A8">
        <v>6</v>
      </c>
      <c r="B8" s="1" t="s">
        <v>88</v>
      </c>
      <c r="C8" s="1">
        <f t="shared" si="0"/>
        <v>9.23</v>
      </c>
      <c r="D8">
        <v>9</v>
      </c>
      <c r="E8">
        <f t="shared" si="3"/>
        <v>4400.952666666667</v>
      </c>
      <c r="F8">
        <v>7</v>
      </c>
      <c r="G8">
        <f t="shared" si="4"/>
        <v>3197.0206666666668</v>
      </c>
      <c r="H8">
        <v>5</v>
      </c>
      <c r="I8">
        <f t="shared" si="5"/>
        <v>38202.55947</v>
      </c>
      <c r="J8">
        <v>6</v>
      </c>
      <c r="K8">
        <v>19705.241377499999</v>
      </c>
      <c r="L8">
        <v>7</v>
      </c>
      <c r="M8">
        <v>24283.633999999998</v>
      </c>
      <c r="N8">
        <v>10</v>
      </c>
      <c r="O8">
        <v>467.81</v>
      </c>
      <c r="P8">
        <v>41</v>
      </c>
      <c r="Q8">
        <f t="shared" si="1"/>
        <v>1.1094121608206928</v>
      </c>
      <c r="R8">
        <f t="shared" si="2"/>
        <v>10.982999999999999</v>
      </c>
      <c r="S8">
        <v>20</v>
      </c>
      <c r="T8">
        <v>28.164000000000001</v>
      </c>
      <c r="U8">
        <v>18</v>
      </c>
      <c r="V8">
        <v>68688000</v>
      </c>
      <c r="W8">
        <v>32094900000000</v>
      </c>
      <c r="X8" s="1">
        <v>0.6</v>
      </c>
      <c r="Y8" s="1">
        <v>0.86899999999999999</v>
      </c>
      <c r="Z8" s="1">
        <v>2.5259999999999998</v>
      </c>
      <c r="AA8" s="1">
        <v>6.3209999999999997</v>
      </c>
      <c r="AB8" s="1">
        <v>-7.54</v>
      </c>
      <c r="AC8" s="1">
        <v>1.843</v>
      </c>
      <c r="AD8" s="1">
        <v>1.865</v>
      </c>
      <c r="AE8" s="1">
        <v>2.2909999999999999</v>
      </c>
      <c r="AF8" s="1">
        <v>1.095</v>
      </c>
      <c r="AG8" s="1">
        <v>1.113</v>
      </c>
      <c r="AH8">
        <v>4243.08</v>
      </c>
      <c r="AI8">
        <v>4396.5479999999998</v>
      </c>
      <c r="AJ8">
        <v>4563.2299999999996</v>
      </c>
      <c r="AK8">
        <v>3061.0949999999998</v>
      </c>
      <c r="AL8">
        <v>3161.0419999999999</v>
      </c>
      <c r="AM8">
        <v>3368.9250000000002</v>
      </c>
      <c r="AR8" s="3"/>
      <c r="AS8" s="3"/>
      <c r="AT8" s="3"/>
    </row>
    <row r="9" spans="1:48" s="3" customFormat="1">
      <c r="A9">
        <v>7</v>
      </c>
      <c r="B9" s="1" t="s">
        <v>90</v>
      </c>
      <c r="C9" s="1">
        <f t="shared" si="0"/>
        <v>10.080000000000002</v>
      </c>
      <c r="D9">
        <v>10</v>
      </c>
      <c r="E9">
        <f t="shared" si="3"/>
        <v>4380.2390000000005</v>
      </c>
      <c r="F9">
        <v>6</v>
      </c>
      <c r="G9">
        <f t="shared" si="4"/>
        <v>3706.8163333333337</v>
      </c>
      <c r="H9">
        <v>6</v>
      </c>
      <c r="I9">
        <f t="shared" si="5"/>
        <v>31499.265989999996</v>
      </c>
      <c r="J9">
        <v>7</v>
      </c>
      <c r="K9">
        <v>18194.579327500003</v>
      </c>
      <c r="L9">
        <v>10</v>
      </c>
      <c r="M9">
        <v>19597.553</v>
      </c>
      <c r="N9">
        <v>17</v>
      </c>
      <c r="O9">
        <v>309.22000000000003</v>
      </c>
      <c r="P9">
        <v>37</v>
      </c>
      <c r="Q9">
        <f t="shared" si="1"/>
        <v>1.1344660801533362</v>
      </c>
      <c r="R9">
        <f t="shared" si="2"/>
        <v>13.747</v>
      </c>
      <c r="S9">
        <v>16</v>
      </c>
      <c r="T9">
        <v>34.213999999999999</v>
      </c>
      <c r="U9">
        <v>19</v>
      </c>
      <c r="V9">
        <v>68265209</v>
      </c>
      <c r="W9">
        <v>26463300000000</v>
      </c>
      <c r="X9" s="1">
        <v>1.1000000000000001</v>
      </c>
      <c r="Y9" s="1">
        <v>0.14499999999999999</v>
      </c>
      <c r="Z9" s="1">
        <v>4.3449999999999998</v>
      </c>
      <c r="AA9" s="1">
        <v>8.6750000000000007</v>
      </c>
      <c r="AB9" s="1">
        <v>-10.36</v>
      </c>
      <c r="AC9" s="1">
        <v>1.6419999999999999</v>
      </c>
      <c r="AD9" s="1">
        <v>1.4039999999999999</v>
      </c>
      <c r="AE9" s="1">
        <v>2.6549999999999998</v>
      </c>
      <c r="AF9" s="1">
        <v>1.921</v>
      </c>
      <c r="AG9" s="1">
        <v>2.2200000000000002</v>
      </c>
      <c r="AH9" s="3">
        <v>4217.9319999999998</v>
      </c>
      <c r="AI9" s="3">
        <v>4369.68</v>
      </c>
      <c r="AJ9" s="3">
        <v>4553.1049999999996</v>
      </c>
      <c r="AK9" s="3">
        <v>3422.0720000000001</v>
      </c>
      <c r="AL9" s="3">
        <v>3695.355</v>
      </c>
      <c r="AM9" s="3">
        <v>4003.0219999999999</v>
      </c>
      <c r="AR9"/>
      <c r="AS9"/>
      <c r="AT9"/>
    </row>
    <row r="10" spans="1:48" s="3" customFormat="1">
      <c r="A10">
        <v>8</v>
      </c>
      <c r="B10" s="1" t="s">
        <v>98</v>
      </c>
      <c r="C10" s="1">
        <f t="shared" si="0"/>
        <v>8.27</v>
      </c>
      <c r="D10">
        <v>4</v>
      </c>
      <c r="E10">
        <f t="shared" si="3"/>
        <v>6895.3516666666665</v>
      </c>
      <c r="F10">
        <v>9</v>
      </c>
      <c r="G10">
        <f t="shared" si="4"/>
        <v>2269.489</v>
      </c>
      <c r="H10">
        <v>10</v>
      </c>
      <c r="I10">
        <f t="shared" si="5"/>
        <v>19193.587500000001</v>
      </c>
      <c r="J10">
        <v>9</v>
      </c>
      <c r="K10">
        <v>13414.023150000001</v>
      </c>
      <c r="L10">
        <v>4</v>
      </c>
      <c r="M10">
        <v>45509.749000000003</v>
      </c>
      <c r="N10">
        <v>4</v>
      </c>
      <c r="O10">
        <v>1162.44</v>
      </c>
      <c r="P10">
        <v>39</v>
      </c>
      <c r="Q10">
        <f t="shared" si="1"/>
        <v>1.1261636463945575</v>
      </c>
      <c r="R10">
        <f t="shared" si="2"/>
        <v>12.270000000000001</v>
      </c>
      <c r="S10">
        <v>8</v>
      </c>
      <c r="T10">
        <v>75</v>
      </c>
      <c r="U10">
        <v>9</v>
      </c>
      <c r="V10">
        <v>146028325</v>
      </c>
      <c r="W10">
        <v>16125000000000</v>
      </c>
      <c r="X10" s="1">
        <v>1.5</v>
      </c>
      <c r="Y10" s="1">
        <v>3.585</v>
      </c>
      <c r="Z10" s="1">
        <v>-1.2010000000000001</v>
      </c>
      <c r="AA10" s="1">
        <v>5.9880000000000004</v>
      </c>
      <c r="AB10" s="1">
        <v>-2.6539999999999999</v>
      </c>
      <c r="AC10" s="1">
        <v>2.198</v>
      </c>
      <c r="AD10" s="1">
        <v>2.806</v>
      </c>
      <c r="AE10" s="1">
        <v>1.827</v>
      </c>
      <c r="AF10" s="1">
        <v>0.19400000000000001</v>
      </c>
      <c r="AG10" s="1">
        <v>-1.9730000000000001</v>
      </c>
      <c r="AH10" s="3">
        <v>6480.84</v>
      </c>
      <c r="AI10" s="3">
        <v>6968.6139999999996</v>
      </c>
      <c r="AJ10" s="3">
        <v>7236.6009999999997</v>
      </c>
      <c r="AK10" s="3">
        <v>2034.681</v>
      </c>
      <c r="AL10" s="3">
        <v>2185.848</v>
      </c>
      <c r="AM10" s="3">
        <v>2587.9380000000001</v>
      </c>
      <c r="AR10"/>
      <c r="AS10"/>
      <c r="AT10"/>
      <c r="AU10"/>
      <c r="AV10"/>
    </row>
    <row r="11" spans="1:48">
      <c r="A11">
        <v>9</v>
      </c>
      <c r="B11" s="1" t="s">
        <v>83</v>
      </c>
      <c r="C11" s="1">
        <f t="shared" si="0"/>
        <v>11.790000000000001</v>
      </c>
      <c r="D11">
        <v>11</v>
      </c>
      <c r="E11">
        <f t="shared" si="3"/>
        <v>3624.2803333333336</v>
      </c>
      <c r="F11">
        <v>8</v>
      </c>
      <c r="G11">
        <f t="shared" si="4"/>
        <v>2416.7930000000001</v>
      </c>
      <c r="H11">
        <v>12</v>
      </c>
      <c r="I11">
        <f t="shared" si="5"/>
        <v>17666.908719999999</v>
      </c>
      <c r="J11">
        <v>8</v>
      </c>
      <c r="K11">
        <v>17622.141515000003</v>
      </c>
      <c r="L11">
        <v>9</v>
      </c>
      <c r="M11">
        <v>23078.333999999999</v>
      </c>
      <c r="N11">
        <v>16</v>
      </c>
      <c r="O11">
        <v>312.72000000000003</v>
      </c>
      <c r="P11">
        <v>43</v>
      </c>
      <c r="Q11">
        <f t="shared" si="1"/>
        <v>1.0933249238746243</v>
      </c>
      <c r="R11">
        <f t="shared" si="2"/>
        <v>9.7910000000000004</v>
      </c>
      <c r="S11">
        <v>22</v>
      </c>
      <c r="T11">
        <v>24.216999999999999</v>
      </c>
      <c r="U11">
        <v>22</v>
      </c>
      <c r="V11">
        <v>58919230</v>
      </c>
      <c r="W11">
        <v>14842400000000</v>
      </c>
      <c r="X11" s="1">
        <v>0.4</v>
      </c>
      <c r="Y11" s="1">
        <v>0.92100000000000004</v>
      </c>
      <c r="Z11" s="1">
        <v>3.9860000000000002</v>
      </c>
      <c r="AA11" s="1">
        <v>8.31</v>
      </c>
      <c r="AB11" s="1">
        <v>-8.9740000000000002</v>
      </c>
      <c r="AC11" s="1">
        <v>0.48299999999999998</v>
      </c>
      <c r="AD11" s="1">
        <v>0.92600000000000005</v>
      </c>
      <c r="AE11" s="1">
        <v>1.6679999999999999</v>
      </c>
      <c r="AF11" s="1">
        <v>1.2929999999999999</v>
      </c>
      <c r="AG11" s="1">
        <v>0.77800000000000002</v>
      </c>
      <c r="AH11">
        <v>3506.5410000000002</v>
      </c>
      <c r="AI11">
        <v>3621.7310000000002</v>
      </c>
      <c r="AJ11">
        <v>3744.569</v>
      </c>
      <c r="AK11">
        <v>2317.5500000000002</v>
      </c>
      <c r="AL11">
        <v>2382.7179999999998</v>
      </c>
      <c r="AM11">
        <v>2550.1109999999999</v>
      </c>
      <c r="AR11" s="3"/>
      <c r="AS11" s="3"/>
      <c r="AT11" s="3"/>
      <c r="AU11" s="3"/>
      <c r="AV11" s="3"/>
    </row>
    <row r="12" spans="1:48">
      <c r="A12" s="3">
        <v>10</v>
      </c>
      <c r="B12" s="4" t="s">
        <v>101</v>
      </c>
      <c r="C12" s="1">
        <f t="shared" si="0"/>
        <v>11.610000000000005</v>
      </c>
      <c r="D12" s="3">
        <v>7</v>
      </c>
      <c r="E12">
        <f t="shared" si="3"/>
        <v>4735.3033333333333</v>
      </c>
      <c r="F12" s="3">
        <v>11</v>
      </c>
      <c r="G12">
        <f t="shared" si="4"/>
        <v>2218.9590000000003</v>
      </c>
      <c r="H12">
        <v>11</v>
      </c>
      <c r="I12">
        <f t="shared" si="5"/>
        <v>18266.581859999998</v>
      </c>
      <c r="J12">
        <v>14</v>
      </c>
      <c r="K12" s="3">
        <v>10799.892580000002</v>
      </c>
      <c r="L12" s="3">
        <v>11</v>
      </c>
      <c r="M12">
        <v>19509.992999999999</v>
      </c>
      <c r="N12" s="3">
        <v>6</v>
      </c>
      <c r="O12">
        <v>725.1</v>
      </c>
      <c r="P12" s="3">
        <v>45</v>
      </c>
      <c r="Q12">
        <f t="shared" si="1"/>
        <v>1.0796211067884065</v>
      </c>
      <c r="R12" s="3">
        <f t="shared" si="2"/>
        <v>8.1170000000000027</v>
      </c>
      <c r="S12" s="3">
        <v>5</v>
      </c>
      <c r="T12">
        <v>102</v>
      </c>
      <c r="U12" s="3">
        <v>7</v>
      </c>
      <c r="V12" s="3">
        <v>213421037</v>
      </c>
      <c r="W12" s="3">
        <v>15346200000000</v>
      </c>
      <c r="X12" s="4">
        <v>2.7</v>
      </c>
      <c r="Y12" s="4">
        <v>3.2080000000000002</v>
      </c>
      <c r="Z12" s="4">
        <v>3.0169999999999999</v>
      </c>
      <c r="AA12" s="4">
        <v>4.9630000000000001</v>
      </c>
      <c r="AB12" s="4">
        <v>-3.2770000000000001</v>
      </c>
      <c r="AC12" s="4">
        <v>1.2210000000000001</v>
      </c>
      <c r="AD12" s="4">
        <v>1.784</v>
      </c>
      <c r="AE12" s="4">
        <v>1.323</v>
      </c>
      <c r="AF12" s="4">
        <v>-3.2759999999999998</v>
      </c>
      <c r="AG12" s="4">
        <v>-3.5459999999999998</v>
      </c>
      <c r="AH12">
        <v>4474.7030000000004</v>
      </c>
      <c r="AI12">
        <v>4742.6000000000004</v>
      </c>
      <c r="AJ12">
        <v>4988.607</v>
      </c>
      <c r="AK12">
        <v>2191.1370000000002</v>
      </c>
      <c r="AL12">
        <v>2185.8220000000001</v>
      </c>
      <c r="AM12">
        <v>2279.9180000000001</v>
      </c>
    </row>
    <row r="13" spans="1:48">
      <c r="A13" s="3">
        <v>11</v>
      </c>
      <c r="B13" s="4" t="s">
        <v>81</v>
      </c>
      <c r="C13" s="1">
        <f t="shared" si="0"/>
        <v>14.33</v>
      </c>
      <c r="D13" s="3">
        <v>16</v>
      </c>
      <c r="E13">
        <f t="shared" si="3"/>
        <v>2666.7173333333335</v>
      </c>
      <c r="F13" s="3">
        <v>10</v>
      </c>
      <c r="G13">
        <f t="shared" si="4"/>
        <v>2262.19</v>
      </c>
      <c r="H13">
        <v>9</v>
      </c>
      <c r="I13">
        <f t="shared" si="5"/>
        <v>25041.5314</v>
      </c>
      <c r="J13">
        <v>13</v>
      </c>
      <c r="K13" s="3">
        <v>11576.43772</v>
      </c>
      <c r="L13" s="3">
        <v>15</v>
      </c>
      <c r="M13">
        <v>12061.022000000001</v>
      </c>
      <c r="N13" s="3">
        <v>8</v>
      </c>
      <c r="O13">
        <v>605.52</v>
      </c>
      <c r="P13" s="3">
        <v>34</v>
      </c>
      <c r="Q13">
        <f t="shared" si="1"/>
        <v>1.1670583250012978</v>
      </c>
      <c r="R13" s="3">
        <f t="shared" si="2"/>
        <v>15.908999999999999</v>
      </c>
      <c r="S13" s="3">
        <v>25</v>
      </c>
      <c r="T13">
        <v>20.954999999999998</v>
      </c>
      <c r="U13" s="3">
        <v>29</v>
      </c>
      <c r="V13" s="3">
        <v>41548787</v>
      </c>
      <c r="W13" s="3">
        <v>21038000000000</v>
      </c>
      <c r="X13" s="4">
        <v>1.4</v>
      </c>
      <c r="Y13" s="4">
        <v>1.0660000000000001</v>
      </c>
      <c r="Z13" s="4">
        <v>3.82</v>
      </c>
      <c r="AA13" s="4">
        <v>5.2869999999999999</v>
      </c>
      <c r="AB13" s="4">
        <v>-5.0380000000000003</v>
      </c>
      <c r="AC13" s="4">
        <v>1.9079999999999999</v>
      </c>
      <c r="AD13" s="4">
        <v>2.7429999999999999</v>
      </c>
      <c r="AE13" s="4">
        <v>3.0339999999999998</v>
      </c>
      <c r="AF13" s="4">
        <v>1.0389999999999999</v>
      </c>
      <c r="AG13" s="4">
        <v>0.65</v>
      </c>
      <c r="AH13" s="3">
        <v>2547.8180000000002</v>
      </c>
      <c r="AI13" s="3">
        <v>2664.4989999999998</v>
      </c>
      <c r="AJ13" s="3">
        <v>2787.835</v>
      </c>
      <c r="AK13" s="3">
        <v>2196.5940000000001</v>
      </c>
      <c r="AL13" s="3">
        <v>2270.076</v>
      </c>
      <c r="AM13" s="3">
        <v>2319.9</v>
      </c>
      <c r="AN13" s="3"/>
      <c r="AO13" s="3"/>
      <c r="AP13" s="3"/>
      <c r="AQ13" s="3"/>
      <c r="AU13" s="3"/>
      <c r="AV13" s="3"/>
    </row>
    <row r="14" spans="1:48" s="3" customFormat="1">
      <c r="A14" s="3">
        <v>12</v>
      </c>
      <c r="B14" s="4" t="s">
        <v>103</v>
      </c>
      <c r="C14" s="1">
        <f t="shared" si="0"/>
        <v>12.459999999999999</v>
      </c>
      <c r="D14" s="3">
        <v>8</v>
      </c>
      <c r="E14">
        <f t="shared" si="3"/>
        <v>4685.1869999999999</v>
      </c>
      <c r="F14" s="3">
        <v>16</v>
      </c>
      <c r="G14">
        <f t="shared" si="4"/>
        <v>1404.3703333333333</v>
      </c>
      <c r="H14">
        <v>19</v>
      </c>
      <c r="I14">
        <f t="shared" si="5"/>
        <v>8573.576160999999</v>
      </c>
      <c r="J14">
        <v>18</v>
      </c>
      <c r="K14" s="3">
        <v>7993.5250175000001</v>
      </c>
      <c r="L14" s="3">
        <v>6</v>
      </c>
      <c r="M14">
        <v>29227.759999999998</v>
      </c>
      <c r="N14" s="3">
        <v>14</v>
      </c>
      <c r="O14">
        <v>351.49</v>
      </c>
      <c r="P14" s="3">
        <v>8</v>
      </c>
      <c r="Q14">
        <f t="shared" si="1"/>
        <v>1.5037422819720307</v>
      </c>
      <c r="R14" s="3">
        <f t="shared" si="2"/>
        <v>41.864000000000004</v>
      </c>
      <c r="S14" s="3">
        <v>4</v>
      </c>
      <c r="T14">
        <v>144.642</v>
      </c>
      <c r="U14" s="3">
        <v>4</v>
      </c>
      <c r="V14" s="3">
        <v>284438782</v>
      </c>
      <c r="W14" s="3">
        <v>7202870000000</v>
      </c>
      <c r="X14" s="4">
        <v>4.7</v>
      </c>
      <c r="Y14" s="4">
        <v>5.048</v>
      </c>
      <c r="Z14" s="4">
        <v>5.3070000000000004</v>
      </c>
      <c r="AA14" s="4">
        <v>3.7029999999999998</v>
      </c>
      <c r="AB14" s="4">
        <v>-2.0659999999999998</v>
      </c>
      <c r="AC14" s="4">
        <v>5.0190000000000001</v>
      </c>
      <c r="AD14" s="4">
        <v>5.1740000000000004</v>
      </c>
      <c r="AE14" s="4">
        <v>5.07</v>
      </c>
      <c r="AF14" s="4">
        <v>5.0330000000000004</v>
      </c>
      <c r="AG14" s="4">
        <v>4.8760000000000003</v>
      </c>
      <c r="AH14" s="3">
        <v>4338.2979999999998</v>
      </c>
      <c r="AI14" s="3">
        <v>4669.7460000000001</v>
      </c>
      <c r="AJ14" s="3">
        <v>5047.5169999999998</v>
      </c>
      <c r="AK14" s="3">
        <v>1371.1669999999999</v>
      </c>
      <c r="AL14" s="3">
        <v>1396.3019999999999</v>
      </c>
      <c r="AM14" s="3">
        <v>1445.6420000000001</v>
      </c>
    </row>
    <row r="15" spans="1:48" s="3" customFormat="1">
      <c r="A15">
        <v>13</v>
      </c>
      <c r="B15" s="1" t="s">
        <v>87</v>
      </c>
      <c r="C15" s="1">
        <f t="shared" si="0"/>
        <v>14.020000000000001</v>
      </c>
      <c r="D15">
        <v>14</v>
      </c>
      <c r="E15">
        <f t="shared" si="3"/>
        <v>3249.3273333333332</v>
      </c>
      <c r="F15">
        <v>12</v>
      </c>
      <c r="G15">
        <f t="shared" si="4"/>
        <v>1864.1880000000001</v>
      </c>
      <c r="H15">
        <v>13</v>
      </c>
      <c r="I15">
        <f t="shared" si="5"/>
        <v>16124.041859999998</v>
      </c>
      <c r="J15">
        <v>16</v>
      </c>
      <c r="K15">
        <v>8973.2516650000016</v>
      </c>
      <c r="L15">
        <v>12</v>
      </c>
      <c r="M15">
        <v>16983.008000000002</v>
      </c>
      <c r="N15">
        <v>7</v>
      </c>
      <c r="O15">
        <v>617.91999999999996</v>
      </c>
      <c r="P15">
        <v>22</v>
      </c>
      <c r="Q15">
        <f t="shared" si="1"/>
        <v>1.2497738440489861</v>
      </c>
      <c r="R15">
        <f t="shared" si="2"/>
        <v>22.633000000000003</v>
      </c>
      <c r="S15">
        <v>19</v>
      </c>
      <c r="T15">
        <v>28.966999999999999</v>
      </c>
      <c r="U15">
        <v>24</v>
      </c>
      <c r="V15">
        <v>51159889</v>
      </c>
      <c r="W15">
        <v>13546200000000</v>
      </c>
      <c r="X15" s="1">
        <v>1</v>
      </c>
      <c r="Y15" s="1">
        <v>1.357</v>
      </c>
      <c r="Z15" s="1">
        <v>2.613</v>
      </c>
      <c r="AA15" s="1">
        <v>4.3049999999999997</v>
      </c>
      <c r="AB15" s="1">
        <v>-0.70899999999999996</v>
      </c>
      <c r="AC15" s="1">
        <v>2.2440000000000002</v>
      </c>
      <c r="AD15" s="1">
        <v>2.907</v>
      </c>
      <c r="AE15" s="1">
        <v>3.16</v>
      </c>
      <c r="AF15" s="1">
        <v>2.9470000000000001</v>
      </c>
      <c r="AG15" s="1">
        <v>2.8090000000000002</v>
      </c>
      <c r="AH15">
        <v>3113.18</v>
      </c>
      <c r="AI15">
        <v>3254.39</v>
      </c>
      <c r="AJ15">
        <v>3380.4119999999998</v>
      </c>
      <c r="AK15">
        <v>1844.8009999999999</v>
      </c>
      <c r="AL15">
        <v>1875.3879999999999</v>
      </c>
      <c r="AM15">
        <v>1872.375</v>
      </c>
      <c r="AN15"/>
      <c r="AO15"/>
      <c r="AP15"/>
      <c r="AQ15"/>
    </row>
    <row r="16" spans="1:48">
      <c r="A16" s="3">
        <v>14</v>
      </c>
      <c r="B16" s="4" t="s">
        <v>82</v>
      </c>
      <c r="C16" s="1">
        <f t="shared" si="0"/>
        <v>14.99</v>
      </c>
      <c r="D16" s="3">
        <v>15</v>
      </c>
      <c r="E16">
        <f t="shared" si="3"/>
        <v>2683.3219999999997</v>
      </c>
      <c r="F16" s="3">
        <v>15</v>
      </c>
      <c r="G16">
        <f t="shared" si="4"/>
        <v>1749.6423333333332</v>
      </c>
      <c r="H16">
        <v>14</v>
      </c>
      <c r="I16">
        <f t="shared" si="5"/>
        <v>12750.13651</v>
      </c>
      <c r="J16">
        <v>10</v>
      </c>
      <c r="K16" s="3">
        <v>13362.855062500001</v>
      </c>
      <c r="L16" s="3">
        <v>13</v>
      </c>
      <c r="M16">
        <v>15383.161</v>
      </c>
      <c r="N16" s="3">
        <v>21</v>
      </c>
      <c r="O16">
        <v>265</v>
      </c>
      <c r="P16" s="3">
        <v>28</v>
      </c>
      <c r="Q16">
        <f t="shared" si="1"/>
        <v>1.2071614045981567</v>
      </c>
      <c r="R16" s="3">
        <f t="shared" si="2"/>
        <v>20.124999999999996</v>
      </c>
      <c r="S16" s="3">
        <v>24</v>
      </c>
      <c r="T16">
        <v>22.268999999999998</v>
      </c>
      <c r="U16" s="3">
        <v>25</v>
      </c>
      <c r="V16" s="3">
        <v>49315949</v>
      </c>
      <c r="W16" s="3">
        <v>10711700000000</v>
      </c>
      <c r="X16" s="4">
        <v>2.5</v>
      </c>
      <c r="Y16" s="4">
        <v>2.5009999999999999</v>
      </c>
      <c r="Z16" s="4">
        <v>5.7709999999999999</v>
      </c>
      <c r="AA16" s="4">
        <v>6.4</v>
      </c>
      <c r="AB16" s="4">
        <v>-11.164999999999999</v>
      </c>
      <c r="AC16" s="4">
        <v>1.9830000000000001</v>
      </c>
      <c r="AD16" s="4">
        <v>2.2829999999999999</v>
      </c>
      <c r="AE16" s="4">
        <v>2.9769999999999999</v>
      </c>
      <c r="AF16" s="4">
        <v>3.0379999999999998</v>
      </c>
      <c r="AG16" s="4">
        <v>3.8370000000000002</v>
      </c>
      <c r="AH16" s="3">
        <v>2530.877</v>
      </c>
      <c r="AI16" s="3">
        <v>2683.3249999999998</v>
      </c>
      <c r="AJ16" s="3">
        <v>2835.7640000000001</v>
      </c>
      <c r="AK16" s="3">
        <v>1619.9490000000001</v>
      </c>
      <c r="AL16" s="3">
        <v>1725.152</v>
      </c>
      <c r="AM16" s="3">
        <v>1903.826</v>
      </c>
      <c r="AN16" s="3"/>
      <c r="AO16" s="3"/>
      <c r="AP16" s="3"/>
      <c r="AQ16" s="3"/>
      <c r="AR16" s="3"/>
      <c r="AS16" s="3"/>
      <c r="AT16" s="3"/>
    </row>
    <row r="17" spans="1:48" s="3" customFormat="1">
      <c r="A17" s="3">
        <v>15</v>
      </c>
      <c r="B17" s="4" t="s">
        <v>96</v>
      </c>
      <c r="C17" s="1">
        <f t="shared" si="0"/>
        <v>14.38</v>
      </c>
      <c r="D17" s="3">
        <v>13</v>
      </c>
      <c r="E17">
        <f t="shared" si="3"/>
        <v>3308.6</v>
      </c>
      <c r="F17" s="3">
        <v>13</v>
      </c>
      <c r="G17">
        <f t="shared" si="4"/>
        <v>1819.1800000000003</v>
      </c>
      <c r="H17">
        <v>18</v>
      </c>
      <c r="I17">
        <f t="shared" si="5"/>
        <v>9703.0042190000004</v>
      </c>
      <c r="J17">
        <v>12</v>
      </c>
      <c r="K17" s="3">
        <v>11740.068625</v>
      </c>
      <c r="L17" s="3">
        <v>14</v>
      </c>
      <c r="M17">
        <v>12337.599</v>
      </c>
      <c r="N17" s="3">
        <v>13</v>
      </c>
      <c r="O17">
        <v>357.75</v>
      </c>
      <c r="P17" s="3">
        <v>40</v>
      </c>
      <c r="Q17">
        <f t="shared" si="1"/>
        <v>1.119518600772889</v>
      </c>
      <c r="R17" s="3">
        <f t="shared" si="2"/>
        <v>12.059000000000001</v>
      </c>
      <c r="S17" s="3">
        <v>11</v>
      </c>
      <c r="T17">
        <v>59.440759999999997</v>
      </c>
      <c r="U17" s="3">
        <v>10</v>
      </c>
      <c r="V17" s="3">
        <v>130575786</v>
      </c>
      <c r="W17" s="3">
        <v>8151730000000</v>
      </c>
      <c r="X17" s="4">
        <v>-0.3</v>
      </c>
      <c r="Y17" s="4">
        <v>3.2290000000000001</v>
      </c>
      <c r="Z17" s="4">
        <v>3.9489999999999998</v>
      </c>
      <c r="AA17" s="4">
        <v>5.7389999999999999</v>
      </c>
      <c r="AB17" s="4">
        <v>-8.625</v>
      </c>
      <c r="AC17" s="4">
        <v>-0.251</v>
      </c>
      <c r="AD17" s="4">
        <v>1.972</v>
      </c>
      <c r="AE17" s="4">
        <v>1.8720000000000001</v>
      </c>
      <c r="AF17" s="4">
        <v>1.772</v>
      </c>
      <c r="AG17" s="4">
        <v>2.702</v>
      </c>
      <c r="AH17">
        <v>3188.7080000000001</v>
      </c>
      <c r="AI17">
        <v>3312.0039999999999</v>
      </c>
      <c r="AJ17">
        <v>3425.0880000000002</v>
      </c>
      <c r="AK17">
        <v>1794.41</v>
      </c>
      <c r="AL17">
        <v>1830.489</v>
      </c>
      <c r="AM17">
        <v>1832.6410000000001</v>
      </c>
      <c r="AN17"/>
      <c r="AO17"/>
      <c r="AP17"/>
      <c r="AQ17"/>
    </row>
    <row r="18" spans="1:48" s="3" customFormat="1">
      <c r="A18" s="3">
        <v>16</v>
      </c>
      <c r="B18" s="4" t="s">
        <v>91</v>
      </c>
      <c r="C18" s="1">
        <f t="shared" si="0"/>
        <v>16.880000000000003</v>
      </c>
      <c r="D18" s="3">
        <v>12</v>
      </c>
      <c r="E18">
        <f t="shared" si="3"/>
        <v>3564.789666666667</v>
      </c>
      <c r="F18" s="3">
        <v>17</v>
      </c>
      <c r="G18">
        <f t="shared" si="4"/>
        <v>1369.6156666666666</v>
      </c>
      <c r="H18">
        <v>26</v>
      </c>
      <c r="I18">
        <f t="shared" si="5"/>
        <v>5090.0203750000001</v>
      </c>
      <c r="J18">
        <v>19</v>
      </c>
      <c r="K18" s="3">
        <v>7878.5356449999999</v>
      </c>
      <c r="L18" s="3">
        <v>18</v>
      </c>
      <c r="M18">
        <v>11169.306</v>
      </c>
      <c r="N18" s="3">
        <v>15</v>
      </c>
      <c r="O18">
        <v>323.8</v>
      </c>
      <c r="P18" s="3">
        <v>6</v>
      </c>
      <c r="Q18">
        <f t="shared" si="1"/>
        <v>1.5735639602421483</v>
      </c>
      <c r="R18" s="3">
        <f t="shared" si="2"/>
        <v>46.790000000000006</v>
      </c>
      <c r="S18" s="3">
        <v>17</v>
      </c>
      <c r="T18">
        <v>32.582000000000001</v>
      </c>
      <c r="U18" s="3">
        <v>16</v>
      </c>
      <c r="V18" s="3">
        <v>85664944</v>
      </c>
      <c r="W18" s="3">
        <v>4276250000000</v>
      </c>
      <c r="X18" s="4">
        <v>2.7</v>
      </c>
      <c r="Y18" s="4">
        <v>4.5170000000000003</v>
      </c>
      <c r="Z18" s="4">
        <v>5.5330000000000004</v>
      </c>
      <c r="AA18" s="4">
        <v>11.439</v>
      </c>
      <c r="AB18" s="4">
        <v>1.86</v>
      </c>
      <c r="AC18" s="4">
        <v>0.81899999999999995</v>
      </c>
      <c r="AD18" s="4">
        <v>3.0129999999999999</v>
      </c>
      <c r="AE18" s="4">
        <v>7.5019999999999998</v>
      </c>
      <c r="AF18" s="4">
        <v>3.323</v>
      </c>
      <c r="AG18" s="4">
        <v>6.0839999999999996</v>
      </c>
      <c r="AH18">
        <v>3355.4670000000001</v>
      </c>
      <c r="AI18">
        <v>3553.1970000000001</v>
      </c>
      <c r="AJ18">
        <v>3785.7049999999999</v>
      </c>
      <c r="AK18">
        <v>1153.2950000000001</v>
      </c>
      <c r="AL18">
        <v>1358.251</v>
      </c>
      <c r="AM18">
        <v>1597.3009999999999</v>
      </c>
      <c r="AN18"/>
      <c r="AO18"/>
      <c r="AP18"/>
      <c r="AQ18"/>
      <c r="AR18"/>
      <c r="AS18"/>
      <c r="AT18"/>
    </row>
    <row r="19" spans="1:48">
      <c r="A19" s="3">
        <v>17</v>
      </c>
      <c r="B19" s="4" t="s">
        <v>74</v>
      </c>
      <c r="C19" s="1">
        <f t="shared" si="0"/>
        <v>16.97</v>
      </c>
      <c r="D19" s="3">
        <v>21</v>
      </c>
      <c r="E19">
        <f t="shared" si="3"/>
        <v>1916.838</v>
      </c>
      <c r="F19" s="3">
        <v>14</v>
      </c>
      <c r="G19">
        <f t="shared" si="4"/>
        <v>1795.8513333333333</v>
      </c>
      <c r="H19">
        <v>8</v>
      </c>
      <c r="I19">
        <f t="shared" si="5"/>
        <v>26071.617020000002</v>
      </c>
      <c r="J19">
        <v>11</v>
      </c>
      <c r="K19" s="3">
        <v>13026.301015000001</v>
      </c>
      <c r="L19" s="3">
        <v>21</v>
      </c>
      <c r="M19">
        <v>9214.2389999999996</v>
      </c>
      <c r="N19" s="3">
        <v>20</v>
      </c>
      <c r="O19">
        <v>273.11</v>
      </c>
      <c r="P19" s="3">
        <v>21</v>
      </c>
      <c r="Q19">
        <f t="shared" si="1"/>
        <v>1.2539186406089036</v>
      </c>
      <c r="R19" s="3">
        <f t="shared" si="2"/>
        <v>23.052</v>
      </c>
      <c r="S19" s="3">
        <v>31</v>
      </c>
      <c r="T19">
        <v>14.641</v>
      </c>
      <c r="U19" s="3">
        <v>35</v>
      </c>
      <c r="V19" s="3">
        <v>27400013</v>
      </c>
      <c r="W19" s="3">
        <v>21903400000000</v>
      </c>
      <c r="X19" s="4">
        <v>1.6</v>
      </c>
      <c r="Y19" s="4">
        <v>2.0630000000000002</v>
      </c>
      <c r="Z19" s="4">
        <v>3.8109999999999999</v>
      </c>
      <c r="AA19" s="4">
        <v>5.5540000000000003</v>
      </c>
      <c r="AB19" s="4">
        <v>-2.129</v>
      </c>
      <c r="AC19" s="4">
        <v>1.8149999999999999</v>
      </c>
      <c r="AD19" s="4">
        <v>2.8490000000000002</v>
      </c>
      <c r="AE19" s="4">
        <v>2.42</v>
      </c>
      <c r="AF19" s="4">
        <v>2.72</v>
      </c>
      <c r="AG19" s="4">
        <v>2.3490000000000002</v>
      </c>
      <c r="AH19" s="3">
        <v>1842.7760000000001</v>
      </c>
      <c r="AI19" s="3">
        <v>1907.482</v>
      </c>
      <c r="AJ19" s="3">
        <v>2000.2560000000001</v>
      </c>
      <c r="AK19" s="3">
        <v>1748.175</v>
      </c>
      <c r="AL19" s="3">
        <v>1799.4179999999999</v>
      </c>
      <c r="AM19" s="3">
        <v>1839.961</v>
      </c>
      <c r="AN19" s="3"/>
      <c r="AO19" s="3"/>
      <c r="AP19" s="3"/>
      <c r="AQ19" s="3"/>
    </row>
    <row r="20" spans="1:48" s="3" customFormat="1">
      <c r="A20" s="3">
        <v>18</v>
      </c>
      <c r="B20" s="4" t="s">
        <v>125</v>
      </c>
      <c r="C20" s="1">
        <f t="shared" si="0"/>
        <v>21.33</v>
      </c>
      <c r="D20" s="3">
        <v>22</v>
      </c>
      <c r="E20">
        <f t="shared" si="3"/>
        <v>1909.0820000000001</v>
      </c>
      <c r="F20" s="3">
        <v>22</v>
      </c>
      <c r="G20">
        <f t="shared" si="4"/>
        <v>826.31066666666663</v>
      </c>
      <c r="H20">
        <v>17</v>
      </c>
      <c r="I20">
        <f t="shared" si="5"/>
        <v>11903</v>
      </c>
      <c r="J20">
        <v>20</v>
      </c>
      <c r="K20" s="3">
        <v>7540.2135925000002</v>
      </c>
      <c r="L20" s="3">
        <v>22</v>
      </c>
      <c r="M20">
        <v>7225.3909999999996</v>
      </c>
      <c r="N20" s="3">
        <v>18</v>
      </c>
      <c r="O20">
        <v>282.14</v>
      </c>
      <c r="P20" s="3">
        <v>14</v>
      </c>
      <c r="Q20">
        <f t="shared" si="1"/>
        <v>1.3386030227317438</v>
      </c>
      <c r="R20" s="3">
        <f t="shared" si="2"/>
        <v>29.683999999999997</v>
      </c>
      <c r="S20" s="3">
        <v>33</v>
      </c>
      <c r="T20">
        <v>11.638</v>
      </c>
      <c r="U20" s="3">
        <v>36</v>
      </c>
      <c r="V20" s="3">
        <v>23337936</v>
      </c>
      <c r="W20" s="3">
        <v>10000000000000</v>
      </c>
      <c r="X20" s="4">
        <v>2.9</v>
      </c>
      <c r="Y20" s="4">
        <v>1.3959999999999999</v>
      </c>
      <c r="Z20" s="4">
        <v>2.5880000000000001</v>
      </c>
      <c r="AA20" s="4">
        <v>6.62</v>
      </c>
      <c r="AB20" s="4">
        <v>3.387</v>
      </c>
      <c r="AC20" s="4">
        <v>3.0640000000000001</v>
      </c>
      <c r="AD20" s="4">
        <v>2.7869999999999999</v>
      </c>
      <c r="AE20" s="4">
        <v>3.3109999999999999</v>
      </c>
      <c r="AF20" s="4">
        <v>2.165</v>
      </c>
      <c r="AG20" s="4">
        <v>1.466</v>
      </c>
      <c r="AH20" s="3">
        <v>1743.7380000000001</v>
      </c>
      <c r="AI20" s="3">
        <v>1881.1510000000001</v>
      </c>
      <c r="AJ20" s="3">
        <v>2102.357</v>
      </c>
      <c r="AK20" s="3">
        <v>757.38699999999994</v>
      </c>
      <c r="AL20" s="3">
        <v>801.495</v>
      </c>
      <c r="AM20" s="3">
        <v>920.05</v>
      </c>
    </row>
    <row r="21" spans="1:48" s="3" customFormat="1">
      <c r="A21" s="3">
        <v>19</v>
      </c>
      <c r="B21" s="4" t="s">
        <v>70</v>
      </c>
      <c r="C21" s="1">
        <f t="shared" si="0"/>
        <v>22.740000000000002</v>
      </c>
      <c r="D21" s="3">
        <v>28</v>
      </c>
      <c r="E21">
        <f t="shared" si="3"/>
        <v>1465.9680000000001</v>
      </c>
      <c r="F21" s="3">
        <v>19</v>
      </c>
      <c r="G21">
        <f t="shared" si="4"/>
        <v>1227.5349999999999</v>
      </c>
      <c r="H21">
        <v>15</v>
      </c>
      <c r="I21">
        <f t="shared" si="5"/>
        <v>12317.105369999999</v>
      </c>
      <c r="J21">
        <v>15</v>
      </c>
      <c r="K21" s="3">
        <v>9858.4347800000014</v>
      </c>
      <c r="L21" s="3">
        <v>25</v>
      </c>
      <c r="M21">
        <v>6510.5209999999997</v>
      </c>
      <c r="N21" s="3">
        <v>34</v>
      </c>
      <c r="O21">
        <v>113.85</v>
      </c>
      <c r="P21" s="3">
        <v>27</v>
      </c>
      <c r="Q21">
        <f t="shared" si="1"/>
        <v>1.2093729260407891</v>
      </c>
      <c r="R21" s="3">
        <f t="shared" si="2"/>
        <v>19.503</v>
      </c>
      <c r="S21" s="3">
        <v>38</v>
      </c>
      <c r="T21">
        <v>9.84</v>
      </c>
      <c r="U21" s="3">
        <v>39</v>
      </c>
      <c r="V21" s="3">
        <v>18080943</v>
      </c>
      <c r="W21" s="3">
        <v>10347900000000</v>
      </c>
      <c r="X21" s="4">
        <v>1.4</v>
      </c>
      <c r="Y21" s="4">
        <v>9.2999999999999999E-2</v>
      </c>
      <c r="Z21" s="4">
        <v>4.3259999999999996</v>
      </c>
      <c r="AA21" s="4">
        <v>6.1920000000000002</v>
      </c>
      <c r="AB21" s="4">
        <v>-3.8849999999999998</v>
      </c>
      <c r="AC21" s="4">
        <v>1.9550000000000001</v>
      </c>
      <c r="AD21" s="4">
        <v>2.3610000000000002</v>
      </c>
      <c r="AE21" s="4">
        <v>2.911</v>
      </c>
      <c r="AF21" s="4">
        <v>2.1920000000000002</v>
      </c>
      <c r="AG21" s="4">
        <v>1.958</v>
      </c>
      <c r="AH21" s="3">
        <v>1409.153</v>
      </c>
      <c r="AI21" s="3">
        <v>1459.7370000000001</v>
      </c>
      <c r="AJ21" s="3">
        <v>1529.0139999999999</v>
      </c>
      <c r="AK21" s="3">
        <v>1135.8030000000001</v>
      </c>
      <c r="AL21" s="3">
        <v>1214.5619999999999</v>
      </c>
      <c r="AM21" s="3">
        <v>1332.24</v>
      </c>
    </row>
    <row r="22" spans="1:48" s="3" customFormat="1">
      <c r="A22" s="3">
        <v>20</v>
      </c>
      <c r="B22" s="1" t="s">
        <v>75</v>
      </c>
      <c r="C22" s="1">
        <f t="shared" si="0"/>
        <v>24.120000000000005</v>
      </c>
      <c r="D22" s="3">
        <v>17</v>
      </c>
      <c r="E22">
        <f t="shared" si="3"/>
        <v>2560.7533333333336</v>
      </c>
      <c r="F22" s="3">
        <v>18</v>
      </c>
      <c r="G22">
        <f t="shared" si="4"/>
        <v>1249.8896666666667</v>
      </c>
      <c r="H22">
        <v>34</v>
      </c>
      <c r="I22">
        <f t="shared" si="5"/>
        <v>3505.8143959999993</v>
      </c>
      <c r="J22">
        <v>37</v>
      </c>
      <c r="K22" s="3">
        <v>2132.3210049999998</v>
      </c>
      <c r="L22" s="3">
        <v>20</v>
      </c>
      <c r="M22">
        <v>9812.7860000000001</v>
      </c>
      <c r="N22" s="3">
        <v>11</v>
      </c>
      <c r="O22">
        <v>422.83</v>
      </c>
      <c r="P22" s="3">
        <v>19</v>
      </c>
      <c r="Q22">
        <f t="shared" si="1"/>
        <v>1.2672731814535894</v>
      </c>
      <c r="R22">
        <f t="shared" si="2"/>
        <v>24.426000000000002</v>
      </c>
      <c r="S22" s="3">
        <v>35</v>
      </c>
      <c r="T22">
        <v>11.156000000000001</v>
      </c>
      <c r="U22" s="3">
        <v>32</v>
      </c>
      <c r="V22">
        <v>35300280</v>
      </c>
      <c r="W22">
        <v>2945320000000</v>
      </c>
      <c r="X22" s="1">
        <v>4.5999999999999996</v>
      </c>
      <c r="Y22" s="1">
        <v>-0.755</v>
      </c>
      <c r="Z22" s="1">
        <v>7.4859999999999998</v>
      </c>
      <c r="AA22" s="1">
        <v>5.0750000000000002</v>
      </c>
      <c r="AB22" s="1">
        <v>-3.5819999999999999</v>
      </c>
      <c r="AC22" s="1">
        <v>1.0980000000000001</v>
      </c>
      <c r="AD22" s="1">
        <v>3.1989999999999998</v>
      </c>
      <c r="AE22" s="1">
        <v>0.91100000000000003</v>
      </c>
      <c r="AF22" s="1">
        <v>1.885</v>
      </c>
      <c r="AG22" s="1">
        <v>4.5090000000000003</v>
      </c>
      <c r="AH22" s="3">
        <v>2413.9110000000001</v>
      </c>
      <c r="AI22" s="3">
        <v>2539.3679999999999</v>
      </c>
      <c r="AJ22" s="3">
        <v>2728.9810000000002</v>
      </c>
      <c r="AK22" s="3">
        <v>1218.585</v>
      </c>
      <c r="AL22" s="3">
        <v>1254.1410000000001</v>
      </c>
      <c r="AM22" s="3">
        <v>1276.943</v>
      </c>
    </row>
    <row r="23" spans="1:48" s="3" customFormat="1">
      <c r="A23" s="3">
        <v>21</v>
      </c>
      <c r="B23" s="4" t="s">
        <v>77</v>
      </c>
      <c r="C23" s="1">
        <f t="shared" si="0"/>
        <v>24.700000000000003</v>
      </c>
      <c r="D23" s="3">
        <v>20</v>
      </c>
      <c r="E23">
        <f t="shared" si="3"/>
        <v>1919.6103333333333</v>
      </c>
      <c r="F23" s="3">
        <v>21</v>
      </c>
      <c r="G23">
        <f t="shared" si="4"/>
        <v>922.05599999999993</v>
      </c>
      <c r="H23">
        <v>24</v>
      </c>
      <c r="I23">
        <f t="shared" si="5"/>
        <v>5295.5018639999998</v>
      </c>
      <c r="J23">
        <v>29</v>
      </c>
      <c r="K23" s="3">
        <v>3621.3488200000002</v>
      </c>
      <c r="L23" s="3">
        <v>32</v>
      </c>
      <c r="M23">
        <v>4457.8459999999995</v>
      </c>
      <c r="N23" s="3">
        <v>27</v>
      </c>
      <c r="O23">
        <v>168.14</v>
      </c>
      <c r="P23" s="3">
        <v>11</v>
      </c>
      <c r="Q23">
        <f t="shared" si="1"/>
        <v>1.425360006974759</v>
      </c>
      <c r="R23" s="3">
        <f t="shared" si="2"/>
        <v>36.407000000000004</v>
      </c>
      <c r="S23" s="3">
        <v>26</v>
      </c>
      <c r="T23">
        <v>17.198</v>
      </c>
      <c r="U23" s="3">
        <v>31</v>
      </c>
      <c r="V23" s="3">
        <v>37401000</v>
      </c>
      <c r="W23" s="3">
        <v>4448880000000</v>
      </c>
      <c r="X23" s="4">
        <v>3.2</v>
      </c>
      <c r="Y23" s="4">
        <v>0.16</v>
      </c>
      <c r="Z23" s="4">
        <v>5.26</v>
      </c>
      <c r="AA23" s="4">
        <v>6.9349999999999996</v>
      </c>
      <c r="AB23" s="4">
        <v>-2.02</v>
      </c>
      <c r="AC23" s="4">
        <v>4.45</v>
      </c>
      <c r="AD23" s="4">
        <v>5.9450000000000003</v>
      </c>
      <c r="AE23" s="4">
        <v>5.14</v>
      </c>
      <c r="AF23" s="4">
        <v>2.9540000000000002</v>
      </c>
      <c r="AG23" s="4">
        <v>4.383</v>
      </c>
      <c r="AH23" s="3">
        <v>1810.6859999999999</v>
      </c>
      <c r="AI23" s="3">
        <v>1911.8340000000001</v>
      </c>
      <c r="AJ23" s="3">
        <v>2036.3109999999999</v>
      </c>
      <c r="AK23" s="3">
        <v>812.95899999999995</v>
      </c>
      <c r="AL23" s="3">
        <v>917.62300000000005</v>
      </c>
      <c r="AM23" s="3">
        <v>1035.586</v>
      </c>
    </row>
    <row r="24" spans="1:48" s="3" customFormat="1">
      <c r="A24" s="3">
        <v>22</v>
      </c>
      <c r="B24" s="4" t="s">
        <v>92</v>
      </c>
      <c r="C24" s="1">
        <f t="shared" si="0"/>
        <v>24.95</v>
      </c>
      <c r="D24" s="3">
        <v>24</v>
      </c>
      <c r="E24">
        <f t="shared" si="3"/>
        <v>1786.4103333333333</v>
      </c>
      <c r="F24" s="3">
        <v>30</v>
      </c>
      <c r="G24">
        <f t="shared" si="4"/>
        <v>541.13633333333325</v>
      </c>
      <c r="H24">
        <v>23</v>
      </c>
      <c r="I24">
        <f t="shared" si="5"/>
        <v>5365.6343399999996</v>
      </c>
      <c r="J24">
        <v>25</v>
      </c>
      <c r="K24" s="3">
        <v>4539.7184975000009</v>
      </c>
      <c r="L24" s="3">
        <v>23</v>
      </c>
      <c r="M24">
        <v>7009.2330000000002</v>
      </c>
      <c r="N24" s="3">
        <v>23</v>
      </c>
      <c r="O24">
        <v>224.04</v>
      </c>
      <c r="P24" s="3">
        <v>30</v>
      </c>
      <c r="Q24">
        <f t="shared" si="1"/>
        <v>1.1996209017000847</v>
      </c>
      <c r="R24" s="3">
        <f t="shared" si="2"/>
        <v>18.766999999999999</v>
      </c>
      <c r="S24" s="3">
        <v>15</v>
      </c>
      <c r="T24">
        <v>39.51</v>
      </c>
      <c r="U24" s="3">
        <v>20</v>
      </c>
      <c r="V24" s="3">
        <v>65859640</v>
      </c>
      <c r="W24" s="3">
        <v>4507800000000</v>
      </c>
      <c r="X24" s="4">
        <v>1.8</v>
      </c>
      <c r="Y24" s="4">
        <v>1.8720000000000001</v>
      </c>
      <c r="Z24" s="4">
        <v>2.5110000000000001</v>
      </c>
      <c r="AA24" s="4">
        <v>1.5489999999999999</v>
      </c>
      <c r="AB24" s="4">
        <v>-6.05</v>
      </c>
      <c r="AC24" s="4">
        <v>2.1150000000000002</v>
      </c>
      <c r="AD24" s="4">
        <v>4.2229999999999999</v>
      </c>
      <c r="AE24" s="4">
        <v>4.1779999999999999</v>
      </c>
      <c r="AF24" s="4">
        <v>3.4350000000000001</v>
      </c>
      <c r="AG24" s="4">
        <v>3.1339999999999999</v>
      </c>
      <c r="AH24" s="3">
        <v>1692.6859999999999</v>
      </c>
      <c r="AI24" s="3">
        <v>1785.79</v>
      </c>
      <c r="AJ24" s="3">
        <v>1880.7550000000001</v>
      </c>
      <c r="AK24" s="3">
        <v>517.01300000000003</v>
      </c>
      <c r="AL24" s="3">
        <v>529.38599999999997</v>
      </c>
      <c r="AM24" s="3">
        <v>577.01</v>
      </c>
    </row>
    <row r="25" spans="1:48">
      <c r="A25" s="3">
        <v>23</v>
      </c>
      <c r="B25" s="1" t="s">
        <v>86</v>
      </c>
      <c r="C25" s="1">
        <f t="shared" si="0"/>
        <v>28.890000000000004</v>
      </c>
      <c r="D25" s="3">
        <v>23</v>
      </c>
      <c r="E25">
        <f t="shared" si="3"/>
        <v>1794.4939999999999</v>
      </c>
      <c r="F25" s="3">
        <v>39</v>
      </c>
      <c r="G25">
        <f t="shared" si="4"/>
        <v>403.13966666666664</v>
      </c>
      <c r="H25">
        <v>32</v>
      </c>
      <c r="I25">
        <f t="shared" si="5"/>
        <v>3767.7518139999993</v>
      </c>
      <c r="J25">
        <v>39</v>
      </c>
      <c r="K25" s="3">
        <v>1785.0072175</v>
      </c>
      <c r="L25" s="3">
        <v>19</v>
      </c>
      <c r="M25">
        <v>10083.832</v>
      </c>
      <c r="N25" s="3">
        <v>12</v>
      </c>
      <c r="O25">
        <v>380.28</v>
      </c>
      <c r="P25" s="3">
        <v>24</v>
      </c>
      <c r="Q25">
        <f t="shared" si="1"/>
        <v>1.2368432742635</v>
      </c>
      <c r="R25">
        <f t="shared" si="2"/>
        <v>22.075999999999997</v>
      </c>
      <c r="S25" s="3">
        <v>21</v>
      </c>
      <c r="T25">
        <v>24.983452</v>
      </c>
      <c r="U25" s="3">
        <v>15</v>
      </c>
      <c r="V25">
        <v>85961000</v>
      </c>
      <c r="W25">
        <v>3165380000000</v>
      </c>
      <c r="X25" s="1">
        <v>0.3</v>
      </c>
      <c r="Y25" s="1">
        <v>4.7089999999999996</v>
      </c>
      <c r="Z25" s="1">
        <v>3.7770000000000001</v>
      </c>
      <c r="AA25" s="1">
        <v>4.72</v>
      </c>
      <c r="AB25" s="1">
        <v>3.33</v>
      </c>
      <c r="AC25" s="1">
        <v>-3.0710000000000002</v>
      </c>
      <c r="AD25" s="1">
        <v>-1.8380000000000001</v>
      </c>
      <c r="AE25" s="1">
        <v>2.7589999999999999</v>
      </c>
      <c r="AF25" s="1">
        <v>8.8149999999999995</v>
      </c>
      <c r="AG25" s="1">
        <v>-1.425</v>
      </c>
      <c r="AH25">
        <v>1715.462</v>
      </c>
      <c r="AI25">
        <v>1822.4480000000001</v>
      </c>
      <c r="AJ25">
        <v>1845.5719999999999</v>
      </c>
      <c r="AK25">
        <v>421.54700000000003</v>
      </c>
      <c r="AL25">
        <v>416.67599999999999</v>
      </c>
      <c r="AM25">
        <v>371.19600000000003</v>
      </c>
      <c r="AR25" s="3"/>
      <c r="AS25" s="3"/>
      <c r="AT25" s="3"/>
      <c r="AU25" s="3"/>
      <c r="AV25" s="3"/>
    </row>
    <row r="26" spans="1:48">
      <c r="A26" s="3">
        <v>24</v>
      </c>
      <c r="B26" s="4" t="s">
        <v>95</v>
      </c>
      <c r="C26" s="1">
        <f t="shared" si="0"/>
        <v>27.41</v>
      </c>
      <c r="D26" s="3">
        <v>26</v>
      </c>
      <c r="E26">
        <f t="shared" si="3"/>
        <v>1667.7653333333335</v>
      </c>
      <c r="F26" s="3">
        <v>32</v>
      </c>
      <c r="G26">
        <f t="shared" si="4"/>
        <v>462.1583333333333</v>
      </c>
      <c r="H26">
        <v>30</v>
      </c>
      <c r="I26">
        <f t="shared" si="5"/>
        <v>3967.3770269999995</v>
      </c>
      <c r="J26">
        <v>34</v>
      </c>
      <c r="K26" s="3">
        <v>2253.5645250000002</v>
      </c>
      <c r="L26" s="3">
        <v>28</v>
      </c>
      <c r="M26">
        <v>5537.277</v>
      </c>
      <c r="N26" s="3">
        <v>19</v>
      </c>
      <c r="O26">
        <v>278.61</v>
      </c>
      <c r="P26" s="3">
        <v>2</v>
      </c>
      <c r="Q26">
        <f t="shared" si="1"/>
        <v>1.7751619382876132</v>
      </c>
      <c r="R26" s="3">
        <f t="shared" si="2"/>
        <v>59.23</v>
      </c>
      <c r="S26" s="3">
        <v>12</v>
      </c>
      <c r="T26">
        <v>52</v>
      </c>
      <c r="U26" s="3">
        <v>14</v>
      </c>
      <c r="V26" s="3">
        <v>101343800</v>
      </c>
      <c r="W26" s="3">
        <v>3333090000000</v>
      </c>
      <c r="X26" s="4">
        <v>5.2</v>
      </c>
      <c r="Y26" s="4">
        <v>5.0460000000000003</v>
      </c>
      <c r="Z26" s="4">
        <v>8.1240000000000006</v>
      </c>
      <c r="AA26" s="4">
        <v>2.552</v>
      </c>
      <c r="AB26" s="4">
        <v>2.867</v>
      </c>
      <c r="AC26" s="4">
        <v>7.359</v>
      </c>
      <c r="AD26" s="4">
        <v>7.4649999999999999</v>
      </c>
      <c r="AE26" s="4">
        <v>6.94</v>
      </c>
      <c r="AF26" s="4">
        <v>6.69</v>
      </c>
      <c r="AG26" s="4">
        <v>6.9870000000000001</v>
      </c>
      <c r="AH26">
        <v>1509.922</v>
      </c>
      <c r="AI26">
        <v>1654.9760000000001</v>
      </c>
      <c r="AJ26">
        <v>1838.3979999999999</v>
      </c>
      <c r="AK26">
        <v>432.98099999999999</v>
      </c>
      <c r="AL26">
        <v>459.44799999999998</v>
      </c>
      <c r="AM26">
        <v>494.04599999999999</v>
      </c>
      <c r="AU26" s="3"/>
      <c r="AV26" s="3"/>
    </row>
    <row r="27" spans="1:48" s="3" customFormat="1" ht="13.5" customHeight="1">
      <c r="A27" s="3">
        <v>25</v>
      </c>
      <c r="B27" s="4" t="s">
        <v>65</v>
      </c>
      <c r="C27" s="1">
        <f t="shared" si="0"/>
        <v>28.189999999999998</v>
      </c>
      <c r="D27" s="3">
        <v>36</v>
      </c>
      <c r="E27">
        <f t="shared" si="3"/>
        <v>885.94200000000001</v>
      </c>
      <c r="F27" s="3">
        <v>20</v>
      </c>
      <c r="G27">
        <f t="shared" si="4"/>
        <v>980.80766666666659</v>
      </c>
      <c r="H27">
        <v>16</v>
      </c>
      <c r="I27">
        <f t="shared" si="5"/>
        <v>12027.9815</v>
      </c>
      <c r="J27">
        <v>22</v>
      </c>
      <c r="K27" s="3">
        <v>6074.8632349999998</v>
      </c>
      <c r="L27" s="3">
        <v>33</v>
      </c>
      <c r="M27">
        <v>4242.3829999999998</v>
      </c>
      <c r="N27" s="3">
        <v>43</v>
      </c>
      <c r="O27">
        <v>62.74</v>
      </c>
      <c r="P27" s="3">
        <v>32</v>
      </c>
      <c r="Q27">
        <f t="shared" si="1"/>
        <v>1.1766572013188934</v>
      </c>
      <c r="R27" s="3">
        <f t="shared" si="2"/>
        <v>16.567</v>
      </c>
      <c r="S27" s="3">
        <v>41</v>
      </c>
      <c r="T27">
        <v>5.3609999999999998</v>
      </c>
      <c r="U27" s="3">
        <v>46</v>
      </c>
      <c r="V27" s="3">
        <v>9082848</v>
      </c>
      <c r="W27" s="3">
        <v>10105000000000</v>
      </c>
      <c r="X27" s="4">
        <v>0.9</v>
      </c>
      <c r="Y27" s="4">
        <v>0.76400000000000001</v>
      </c>
      <c r="Z27" s="4">
        <v>2.6659999999999999</v>
      </c>
      <c r="AA27" s="4">
        <v>5.3970000000000002</v>
      </c>
      <c r="AB27" s="4">
        <v>-2.2719999999999998</v>
      </c>
      <c r="AC27" s="4">
        <v>1.157</v>
      </c>
      <c r="AD27" s="4">
        <v>2.8519999999999999</v>
      </c>
      <c r="AE27" s="4">
        <v>1.4359999999999999</v>
      </c>
      <c r="AF27" s="4">
        <v>2.085</v>
      </c>
      <c r="AG27" s="4">
        <v>1.5820000000000001</v>
      </c>
      <c r="AH27" s="3">
        <v>851.54200000000003</v>
      </c>
      <c r="AI27" s="3">
        <v>884.80600000000004</v>
      </c>
      <c r="AJ27" s="3">
        <v>921.47799999999995</v>
      </c>
      <c r="AK27" s="3">
        <v>928.68899999999996</v>
      </c>
      <c r="AL27" s="3">
        <v>970.19</v>
      </c>
      <c r="AM27" s="3">
        <v>1043.5440000000001</v>
      </c>
    </row>
    <row r="28" spans="1:48" s="3" customFormat="1">
      <c r="A28" s="3">
        <v>26</v>
      </c>
      <c r="B28" s="4" t="s">
        <v>80</v>
      </c>
      <c r="C28" s="1">
        <f t="shared" si="0"/>
        <v>27.61</v>
      </c>
      <c r="D28" s="3">
        <v>29</v>
      </c>
      <c r="E28">
        <f t="shared" si="3"/>
        <v>1421.5443333333333</v>
      </c>
      <c r="F28" s="3">
        <v>24</v>
      </c>
      <c r="G28">
        <f t="shared" si="4"/>
        <v>655.87133333333338</v>
      </c>
      <c r="H28">
        <v>31</v>
      </c>
      <c r="I28">
        <f t="shared" si="5"/>
        <v>3779.5357839999997</v>
      </c>
      <c r="J28">
        <v>24</v>
      </c>
      <c r="K28" s="3">
        <v>4900.7192500000001</v>
      </c>
      <c r="L28" s="3">
        <v>27</v>
      </c>
      <c r="M28">
        <v>5648.6540000000005</v>
      </c>
      <c r="N28" s="3">
        <v>29</v>
      </c>
      <c r="O28">
        <v>157.79</v>
      </c>
      <c r="P28" s="3">
        <v>46</v>
      </c>
      <c r="Q28">
        <f t="shared" si="1"/>
        <v>1.0732021068473314</v>
      </c>
      <c r="R28" s="3">
        <f t="shared" si="2"/>
        <v>8.5560000000000009</v>
      </c>
      <c r="S28" s="3">
        <v>32</v>
      </c>
      <c r="T28">
        <v>13.259</v>
      </c>
      <c r="U28" s="3">
        <v>27</v>
      </c>
      <c r="V28" s="3">
        <v>47067641</v>
      </c>
      <c r="W28" s="3">
        <v>3175280000000</v>
      </c>
      <c r="X28" s="4">
        <v>5.5</v>
      </c>
      <c r="Y28" s="4">
        <v>-1.569</v>
      </c>
      <c r="Z28" s="4">
        <v>4.9560000000000004</v>
      </c>
      <c r="AA28" s="4">
        <v>10.718</v>
      </c>
      <c r="AB28" s="4">
        <v>-9.9</v>
      </c>
      <c r="AC28" s="4">
        <v>-2.0009999999999999</v>
      </c>
      <c r="AD28" s="4">
        <v>-2.617</v>
      </c>
      <c r="AE28" s="4">
        <v>2.8180000000000001</v>
      </c>
      <c r="AF28" s="4">
        <v>-2.08</v>
      </c>
      <c r="AG28" s="4">
        <v>2.7309999999999999</v>
      </c>
      <c r="AH28" s="3">
        <v>1377.3689999999999</v>
      </c>
      <c r="AI28" s="3">
        <v>1392.607</v>
      </c>
      <c r="AJ28" s="3">
        <v>1494.6569999999999</v>
      </c>
      <c r="AK28" s="3">
        <v>648.89499999999998</v>
      </c>
      <c r="AL28" s="3">
        <v>637.23400000000004</v>
      </c>
      <c r="AM28" s="3">
        <v>681.48500000000001</v>
      </c>
      <c r="AR28"/>
      <c r="AS28"/>
      <c r="AT28"/>
      <c r="AU28"/>
      <c r="AV28"/>
    </row>
    <row r="29" spans="1:48" s="3" customFormat="1">
      <c r="A29" s="3">
        <v>27</v>
      </c>
      <c r="B29" s="4" t="s">
        <v>78</v>
      </c>
      <c r="C29" s="1">
        <f t="shared" si="0"/>
        <v>33.31</v>
      </c>
      <c r="D29" s="3">
        <v>30</v>
      </c>
      <c r="E29">
        <f t="shared" si="3"/>
        <v>1385.4706666666668</v>
      </c>
      <c r="F29" s="3">
        <v>35</v>
      </c>
      <c r="G29">
        <f t="shared" si="4"/>
        <v>431.4563333333333</v>
      </c>
      <c r="H29">
        <v>38</v>
      </c>
      <c r="I29">
        <f t="shared" si="5"/>
        <v>3273.8011200000001</v>
      </c>
      <c r="J29">
        <v>43</v>
      </c>
      <c r="K29" s="3">
        <v>1423.88393</v>
      </c>
      <c r="L29" s="3">
        <v>30</v>
      </c>
      <c r="M29">
        <v>4905.8980000000001</v>
      </c>
      <c r="N29" s="3">
        <v>25</v>
      </c>
      <c r="O29">
        <v>186.66</v>
      </c>
      <c r="P29" s="3">
        <v>9</v>
      </c>
      <c r="Q29">
        <f t="shared" si="1"/>
        <v>1.4549781699438205</v>
      </c>
      <c r="R29" s="3">
        <f t="shared" si="2"/>
        <v>38.796999999999997</v>
      </c>
      <c r="S29" s="3">
        <v>27</v>
      </c>
      <c r="T29">
        <v>16.95</v>
      </c>
      <c r="U29" s="3">
        <v>33</v>
      </c>
      <c r="V29" s="3">
        <v>34231700</v>
      </c>
      <c r="W29" s="3">
        <v>2750400000000</v>
      </c>
      <c r="X29" s="4">
        <v>4.0999999999999996</v>
      </c>
      <c r="Y29" s="4">
        <v>3.68</v>
      </c>
      <c r="Z29" s="4">
        <v>8.65</v>
      </c>
      <c r="AA29" s="4">
        <v>3.298</v>
      </c>
      <c r="AB29" s="4">
        <v>-5.4569999999999999</v>
      </c>
      <c r="AC29" s="4">
        <v>4.4130000000000003</v>
      </c>
      <c r="AD29" s="4">
        <v>4.843</v>
      </c>
      <c r="AE29" s="4">
        <v>5.8129999999999997</v>
      </c>
      <c r="AF29" s="4">
        <v>4.45</v>
      </c>
      <c r="AG29" s="4">
        <v>5.0069999999999997</v>
      </c>
      <c r="AH29" s="3">
        <v>1281.999</v>
      </c>
      <c r="AI29" s="3">
        <v>1380.902</v>
      </c>
      <c r="AJ29" s="3">
        <v>1493.511</v>
      </c>
      <c r="AK29" s="3">
        <v>399.94900000000001</v>
      </c>
      <c r="AL29" s="3">
        <v>422.22699999999998</v>
      </c>
      <c r="AM29" s="3">
        <v>472.19299999999998</v>
      </c>
    </row>
    <row r="30" spans="1:48" s="3" customFormat="1">
      <c r="A30" s="3">
        <v>28</v>
      </c>
      <c r="B30" s="4" t="s">
        <v>89</v>
      </c>
      <c r="C30" s="1">
        <f t="shared" si="0"/>
        <v>32.660000000000004</v>
      </c>
      <c r="D30" s="3">
        <v>18</v>
      </c>
      <c r="E30">
        <f t="shared" si="3"/>
        <v>2249.4103333333333</v>
      </c>
      <c r="F30" s="3">
        <v>41</v>
      </c>
      <c r="G30">
        <f t="shared" si="4"/>
        <v>380.52433333333329</v>
      </c>
      <c r="H30">
        <v>44</v>
      </c>
      <c r="I30">
        <f t="shared" si="5"/>
        <v>2692.6014359999999</v>
      </c>
      <c r="J30">
        <v>44</v>
      </c>
      <c r="K30" s="3">
        <v>1363.762035</v>
      </c>
      <c r="L30" s="3">
        <v>35</v>
      </c>
      <c r="M30">
        <v>3625.9740000000002</v>
      </c>
      <c r="N30" s="3">
        <v>24</v>
      </c>
      <c r="O30">
        <v>218.54</v>
      </c>
      <c r="P30" s="3">
        <v>7</v>
      </c>
      <c r="Q30">
        <f t="shared" si="1"/>
        <v>1.5493675623124235</v>
      </c>
      <c r="R30" s="3">
        <f t="shared" si="2"/>
        <v>44.805000000000007</v>
      </c>
      <c r="S30" s="3">
        <v>18</v>
      </c>
      <c r="T30">
        <v>31.335999999999999</v>
      </c>
      <c r="U30" s="3">
        <v>13</v>
      </c>
      <c r="V30" s="3">
        <v>107271260</v>
      </c>
      <c r="W30" s="3">
        <v>2262120000000</v>
      </c>
      <c r="X30" s="4">
        <v>3.8</v>
      </c>
      <c r="Y30" s="4">
        <v>3.76</v>
      </c>
      <c r="Z30" s="4">
        <v>6.6529999999999996</v>
      </c>
      <c r="AA30" s="4">
        <v>3.2530000000000001</v>
      </c>
      <c r="AB30" s="4">
        <v>3.573</v>
      </c>
      <c r="AC30" s="4">
        <v>5.548</v>
      </c>
      <c r="AD30" s="4">
        <v>5.327</v>
      </c>
      <c r="AE30" s="4">
        <v>4.1909999999999998</v>
      </c>
      <c r="AF30" s="4">
        <v>4.34</v>
      </c>
      <c r="AG30" s="4">
        <v>4.3600000000000003</v>
      </c>
      <c r="AH30" s="3">
        <v>2124.7649999999999</v>
      </c>
      <c r="AI30" s="3">
        <v>2229.748</v>
      </c>
      <c r="AJ30" s="3">
        <v>2393.7179999999998</v>
      </c>
      <c r="AK30" s="3">
        <v>393.82799999999997</v>
      </c>
      <c r="AL30" s="3">
        <v>383.10500000000002</v>
      </c>
      <c r="AM30" s="3">
        <v>364.64</v>
      </c>
      <c r="AU30"/>
      <c r="AV30"/>
    </row>
    <row r="31" spans="1:48" s="3" customFormat="1">
      <c r="A31" s="3">
        <v>29</v>
      </c>
      <c r="B31" s="1" t="s">
        <v>99</v>
      </c>
      <c r="C31" s="1">
        <f t="shared" si="0"/>
        <v>30.299999999999997</v>
      </c>
      <c r="D31" s="3">
        <v>25</v>
      </c>
      <c r="E31">
        <f t="shared" si="3"/>
        <v>1677.0223333333333</v>
      </c>
      <c r="F31" s="3">
        <v>34</v>
      </c>
      <c r="G31">
        <f t="shared" si="4"/>
        <v>453.29966666666661</v>
      </c>
      <c r="H31">
        <v>42</v>
      </c>
      <c r="I31">
        <f t="shared" si="5"/>
        <v>3000.9605539999998</v>
      </c>
      <c r="J31">
        <v>41</v>
      </c>
      <c r="K31" s="3">
        <v>1716.6735325000002</v>
      </c>
      <c r="L31" s="3">
        <v>26</v>
      </c>
      <c r="M31">
        <v>6391.3029999999999</v>
      </c>
      <c r="N31" s="3">
        <v>33</v>
      </c>
      <c r="O31">
        <v>115.57</v>
      </c>
      <c r="P31" s="3">
        <v>1</v>
      </c>
      <c r="Q31">
        <f t="shared" si="1"/>
        <v>1.8365692596387884</v>
      </c>
      <c r="R31">
        <f t="shared" si="2"/>
        <v>62.769999999999989</v>
      </c>
      <c r="S31" s="3">
        <v>9</v>
      </c>
      <c r="T31">
        <v>71</v>
      </c>
      <c r="U31" s="3">
        <v>8</v>
      </c>
      <c r="V31">
        <v>169828911</v>
      </c>
      <c r="W31">
        <v>2521180000000</v>
      </c>
      <c r="X31" s="1">
        <v>3.8</v>
      </c>
      <c r="Y31" s="1">
        <v>6.0250000000000004</v>
      </c>
      <c r="Z31" s="1">
        <v>7.1</v>
      </c>
      <c r="AA31" s="1">
        <v>6.9390000000000001</v>
      </c>
      <c r="AB31" s="1">
        <v>3.448</v>
      </c>
      <c r="AC31" s="1">
        <v>7.8819999999999997</v>
      </c>
      <c r="AD31" s="1">
        <v>7.319</v>
      </c>
      <c r="AE31" s="1">
        <v>6.59</v>
      </c>
      <c r="AF31" s="1">
        <v>7.1139999999999999</v>
      </c>
      <c r="AG31" s="1">
        <v>6.5529999999999999</v>
      </c>
      <c r="AH31" s="3">
        <v>1569.8309999999999</v>
      </c>
      <c r="AI31" s="3">
        <v>1676.7470000000001</v>
      </c>
      <c r="AJ31" s="3">
        <v>1784.489</v>
      </c>
      <c r="AK31" s="3">
        <v>451.53399999999999</v>
      </c>
      <c r="AL31" s="3">
        <v>450.46100000000001</v>
      </c>
      <c r="AM31" s="3">
        <v>457.904</v>
      </c>
    </row>
    <row r="32" spans="1:48" s="3" customFormat="1">
      <c r="A32">
        <v>30</v>
      </c>
      <c r="B32" s="1" t="s">
        <v>66</v>
      </c>
      <c r="C32" s="1">
        <f t="shared" si="0"/>
        <v>30.33</v>
      </c>
      <c r="D32">
        <v>38</v>
      </c>
      <c r="E32">
        <f t="shared" si="3"/>
        <v>873.26366666666672</v>
      </c>
      <c r="F32">
        <v>23</v>
      </c>
      <c r="G32">
        <f t="shared" si="4"/>
        <v>682.53433333333339</v>
      </c>
      <c r="H32">
        <v>21</v>
      </c>
      <c r="I32">
        <f t="shared" si="5"/>
        <v>5943.2869300000002</v>
      </c>
      <c r="J32">
        <v>27</v>
      </c>
      <c r="K32">
        <v>4113.4192325000004</v>
      </c>
      <c r="L32">
        <v>31</v>
      </c>
      <c r="M32">
        <v>4540.97</v>
      </c>
      <c r="N32">
        <v>40</v>
      </c>
      <c r="O32">
        <v>82.36</v>
      </c>
      <c r="P32">
        <v>35</v>
      </c>
      <c r="Q32">
        <f t="shared" si="1"/>
        <v>1.1654973447379895</v>
      </c>
      <c r="R32">
        <f t="shared" si="2"/>
        <v>15.823</v>
      </c>
      <c r="S32">
        <v>46</v>
      </c>
      <c r="T32">
        <v>4.2990000000000004</v>
      </c>
      <c r="U32">
        <v>40</v>
      </c>
      <c r="V32">
        <v>11825551</v>
      </c>
      <c r="W32">
        <v>4993100000000</v>
      </c>
      <c r="X32" s="1">
        <v>0.8</v>
      </c>
      <c r="Y32" s="1">
        <v>1.4610000000000001</v>
      </c>
      <c r="Z32" s="1">
        <v>3.01</v>
      </c>
      <c r="AA32" s="1">
        <v>6.851</v>
      </c>
      <c r="AB32" s="1">
        <v>-5.2610000000000001</v>
      </c>
      <c r="AC32" s="1">
        <v>2.2410000000000001</v>
      </c>
      <c r="AD32" s="1">
        <v>1.7929999999999999</v>
      </c>
      <c r="AE32" s="1">
        <v>1.62</v>
      </c>
      <c r="AF32" s="1">
        <v>1.2669999999999999</v>
      </c>
      <c r="AG32" s="1">
        <v>2.0409999999999999</v>
      </c>
      <c r="AH32" s="3">
        <v>842.01700000000005</v>
      </c>
      <c r="AI32" s="3">
        <v>872.15800000000002</v>
      </c>
      <c r="AJ32" s="3">
        <v>905.61599999999999</v>
      </c>
      <c r="AK32" s="3">
        <v>651.51800000000003</v>
      </c>
      <c r="AL32" s="3">
        <v>671.16800000000001</v>
      </c>
      <c r="AM32" s="3">
        <v>724.91700000000003</v>
      </c>
      <c r="AR32"/>
      <c r="AS32"/>
      <c r="AT32"/>
    </row>
    <row r="33" spans="1:48" ht="13.5" customHeight="1">
      <c r="A33">
        <v>31</v>
      </c>
      <c r="B33" s="1" t="s">
        <v>67</v>
      </c>
      <c r="C33" s="1">
        <f t="shared" si="0"/>
        <v>29.61</v>
      </c>
      <c r="D33">
        <v>40</v>
      </c>
      <c r="E33">
        <f t="shared" si="3"/>
        <v>759.9766666666668</v>
      </c>
      <c r="F33">
        <v>25</v>
      </c>
      <c r="G33">
        <f t="shared" si="4"/>
        <v>617.60566666666671</v>
      </c>
      <c r="H33">
        <v>20</v>
      </c>
      <c r="I33">
        <f t="shared" si="5"/>
        <v>8313.4360959999995</v>
      </c>
      <c r="J33">
        <v>21</v>
      </c>
      <c r="K33">
        <v>7096.692325</v>
      </c>
      <c r="L33">
        <v>36</v>
      </c>
      <c r="M33">
        <v>3522.819</v>
      </c>
      <c r="N33">
        <v>31</v>
      </c>
      <c r="O33">
        <v>137.47999999999999</v>
      </c>
      <c r="P33">
        <v>25</v>
      </c>
      <c r="Q33">
        <f t="shared" si="1"/>
        <v>1.2331856964487224</v>
      </c>
      <c r="R33">
        <f t="shared" si="2"/>
        <v>21.408000000000001</v>
      </c>
      <c r="S33">
        <v>40</v>
      </c>
      <c r="T33">
        <v>5.4379999999999997</v>
      </c>
      <c r="U33">
        <v>42</v>
      </c>
      <c r="V33">
        <v>10596652</v>
      </c>
      <c r="W33">
        <v>6984320000000</v>
      </c>
      <c r="X33" s="1">
        <v>1.9</v>
      </c>
      <c r="Y33" s="1">
        <v>-0.19600000000000001</v>
      </c>
      <c r="Z33" s="1">
        <v>2.6629999999999998</v>
      </c>
      <c r="AA33" s="1">
        <v>6.1470000000000002</v>
      </c>
      <c r="AB33" s="1">
        <v>-2.17</v>
      </c>
      <c r="AC33" s="1">
        <v>1.986</v>
      </c>
      <c r="AD33" s="1">
        <v>1.95</v>
      </c>
      <c r="AE33" s="1">
        <v>2.5680000000000001</v>
      </c>
      <c r="AF33" s="1">
        <v>2.0710000000000002</v>
      </c>
      <c r="AG33" s="1">
        <v>4.4889999999999999</v>
      </c>
      <c r="AH33">
        <v>731.61199999999997</v>
      </c>
      <c r="AI33">
        <v>757.40599999999995</v>
      </c>
      <c r="AJ33">
        <v>790.91200000000003</v>
      </c>
      <c r="AK33">
        <v>578.99099999999999</v>
      </c>
      <c r="AL33">
        <v>604.827</v>
      </c>
      <c r="AM33">
        <v>668.99900000000002</v>
      </c>
      <c r="AR33" s="3"/>
      <c r="AS33" s="3"/>
      <c r="AT33" s="3"/>
      <c r="AU33" s="3"/>
      <c r="AV33" s="3"/>
    </row>
    <row r="34" spans="1:48">
      <c r="A34" s="3">
        <v>32</v>
      </c>
      <c r="B34" s="4" t="s">
        <v>126</v>
      </c>
      <c r="C34" s="1">
        <f t="shared" ref="C34:C51" si="6">D34*0.2+F34*0.2+H34*0.1+J34*0.2+L34*0.15+N34*0.05+P34*0.04+S34*0.03+U34*0.03</f>
        <v>32.239999999999995</v>
      </c>
      <c r="D34" s="3">
        <v>37</v>
      </c>
      <c r="E34">
        <f t="shared" si="3"/>
        <v>879.36466666666672</v>
      </c>
      <c r="F34" s="3">
        <v>28</v>
      </c>
      <c r="G34">
        <f t="shared" si="4"/>
        <v>548.86333333333334</v>
      </c>
      <c r="H34">
        <v>33</v>
      </c>
      <c r="I34">
        <f t="shared" si="5"/>
        <v>3702.1781869999995</v>
      </c>
      <c r="J34">
        <v>40</v>
      </c>
      <c r="K34" s="3">
        <v>1720.5178250000001</v>
      </c>
      <c r="L34" s="3">
        <v>24</v>
      </c>
      <c r="M34">
        <v>6777.34</v>
      </c>
      <c r="N34" s="3">
        <v>28</v>
      </c>
      <c r="O34">
        <v>164.92</v>
      </c>
      <c r="P34" s="3">
        <v>15</v>
      </c>
      <c r="Q34">
        <f t="shared" ref="Q34:Q51" si="7">(1+0.01*X34)*(1+0.01*Y34)*(1+0.01*Z34)*(1+0.01*AA34)*(1+0.01*AB34)*(1+0.01*AC34)*(1+0.01*AD34)*(1+0.01*AE34)*(1+0.01*AF34)*(1+0.01*AG34)</f>
        <v>1.3380781552615844</v>
      </c>
      <c r="R34" s="3">
        <f t="shared" ref="R34:R51" si="8">SUM(X34:AG34)</f>
        <v>30.157</v>
      </c>
      <c r="S34" s="3">
        <v>37</v>
      </c>
      <c r="T34">
        <v>10</v>
      </c>
      <c r="U34" s="3">
        <v>41</v>
      </c>
      <c r="V34" s="3">
        <v>10678556</v>
      </c>
      <c r="W34" s="3">
        <v>3110290000000</v>
      </c>
      <c r="X34" s="4">
        <v>4</v>
      </c>
      <c r="Y34" s="4">
        <v>3.4039999999999999</v>
      </c>
      <c r="Z34" s="4">
        <v>7.85</v>
      </c>
      <c r="AA34" s="4">
        <v>4.3550000000000004</v>
      </c>
      <c r="AB34" s="4">
        <v>-4.9569999999999999</v>
      </c>
      <c r="AC34" s="4">
        <v>1.1080000000000001</v>
      </c>
      <c r="AD34" s="4">
        <v>1.3140000000000001</v>
      </c>
      <c r="AE34" s="4">
        <v>0.73499999999999999</v>
      </c>
      <c r="AF34" s="4">
        <v>5.5609999999999999</v>
      </c>
      <c r="AG34" s="4">
        <v>6.7869999999999999</v>
      </c>
      <c r="AH34" s="3">
        <v>817.93499999999995</v>
      </c>
      <c r="AI34" s="3">
        <v>871.702</v>
      </c>
      <c r="AJ34" s="3">
        <v>948.45699999999999</v>
      </c>
      <c r="AK34" s="3">
        <v>522.62199999999996</v>
      </c>
      <c r="AL34" s="3">
        <v>552.32500000000005</v>
      </c>
      <c r="AM34" s="3">
        <v>571.64300000000003</v>
      </c>
      <c r="AN34" s="3"/>
      <c r="AO34" s="3"/>
      <c r="AP34" s="3"/>
      <c r="AQ34" s="3"/>
      <c r="AR34" s="3"/>
      <c r="AS34" s="3"/>
      <c r="AT34" s="3"/>
      <c r="AU34" s="3"/>
      <c r="AV34" s="3"/>
    </row>
    <row r="35" spans="1:48">
      <c r="A35">
        <v>33</v>
      </c>
      <c r="B35" s="1" t="s">
        <v>59</v>
      </c>
      <c r="C35" s="1">
        <f t="shared" si="6"/>
        <v>33.11</v>
      </c>
      <c r="D35">
        <v>45</v>
      </c>
      <c r="E35">
        <f t="shared" ref="E35:E51" si="9">AVERAGE(AH35:AJ35)</f>
        <v>603.1926666666667</v>
      </c>
      <c r="F35">
        <v>31</v>
      </c>
      <c r="G35">
        <f t="shared" ref="G35:G51" si="10">AVERAGE(AK35:AM35)</f>
        <v>511.28000000000003</v>
      </c>
      <c r="H35">
        <v>22</v>
      </c>
      <c r="I35">
        <f t="shared" ref="I35:I51" si="11">W35*1.1903/1000000000</f>
        <v>5754.4815440000002</v>
      </c>
      <c r="J35">
        <v>17</v>
      </c>
      <c r="K35">
        <v>8661.5119274999997</v>
      </c>
      <c r="L35">
        <v>43</v>
      </c>
      <c r="M35">
        <v>2604.998</v>
      </c>
      <c r="N35">
        <v>32</v>
      </c>
      <c r="O35">
        <v>135.68</v>
      </c>
      <c r="P35">
        <v>33</v>
      </c>
      <c r="Q35">
        <f t="shared" si="7"/>
        <v>1.1673849871091091</v>
      </c>
      <c r="R35">
        <f t="shared" si="8"/>
        <v>15.690000000000001</v>
      </c>
      <c r="S35">
        <v>49</v>
      </c>
      <c r="T35">
        <v>2.8980000000000001</v>
      </c>
      <c r="U35">
        <v>49</v>
      </c>
      <c r="V35" s="6">
        <v>5606944</v>
      </c>
      <c r="W35">
        <v>4834480000000</v>
      </c>
      <c r="X35" s="1">
        <v>2.1</v>
      </c>
      <c r="Y35" s="1">
        <v>0.51400000000000001</v>
      </c>
      <c r="Z35" s="1">
        <v>3.0059999999999998</v>
      </c>
      <c r="AA35" s="1">
        <v>3.9089999999999998</v>
      </c>
      <c r="AB35" s="1">
        <v>-1.278</v>
      </c>
      <c r="AC35" s="1">
        <v>1.1240000000000001</v>
      </c>
      <c r="AD35" s="1">
        <v>0.82899999999999996</v>
      </c>
      <c r="AE35" s="1">
        <v>2.464</v>
      </c>
      <c r="AF35" s="1">
        <v>1.165</v>
      </c>
      <c r="AG35" s="1">
        <v>1.857</v>
      </c>
      <c r="AH35" s="3">
        <v>580.00800000000004</v>
      </c>
      <c r="AI35" s="3">
        <v>602.87</v>
      </c>
      <c r="AJ35" s="3">
        <v>626.70000000000005</v>
      </c>
      <c r="AK35" s="3">
        <v>502.19799999999998</v>
      </c>
      <c r="AL35" s="3">
        <v>500.88600000000002</v>
      </c>
      <c r="AM35" s="3">
        <v>530.75599999999997</v>
      </c>
      <c r="AN35" s="3"/>
      <c r="AO35" s="3"/>
      <c r="AP35" s="3"/>
      <c r="AQ35" s="3"/>
    </row>
    <row r="36" spans="1:48" s="3" customFormat="1">
      <c r="A36" s="3">
        <v>34</v>
      </c>
      <c r="B36" s="1" t="s">
        <v>94</v>
      </c>
      <c r="C36" s="1">
        <f t="shared" si="6"/>
        <v>30.700000000000003</v>
      </c>
      <c r="D36" s="3">
        <v>31</v>
      </c>
      <c r="E36">
        <f t="shared" si="9"/>
        <v>1366.8346666666666</v>
      </c>
      <c r="F36" s="3">
        <v>33</v>
      </c>
      <c r="G36">
        <f t="shared" si="10"/>
        <v>461.94433333333336</v>
      </c>
      <c r="H36">
        <v>36</v>
      </c>
      <c r="I36">
        <f t="shared" si="11"/>
        <v>3331.5782819999999</v>
      </c>
      <c r="J36">
        <v>36</v>
      </c>
      <c r="K36" s="3">
        <v>2147.1545475000003</v>
      </c>
      <c r="L36" s="3">
        <v>29</v>
      </c>
      <c r="M36">
        <v>5235.3059999999996</v>
      </c>
      <c r="N36" s="3">
        <v>36</v>
      </c>
      <c r="O36">
        <v>111.52</v>
      </c>
      <c r="P36" s="3">
        <v>5</v>
      </c>
      <c r="Q36">
        <f t="shared" si="7"/>
        <v>1.5757586289735781</v>
      </c>
      <c r="R36">
        <f t="shared" si="8"/>
        <v>47.722999999999999</v>
      </c>
      <c r="S36" s="3">
        <v>13</v>
      </c>
      <c r="T36">
        <v>46.045999999999999</v>
      </c>
      <c r="U36" s="3">
        <v>12</v>
      </c>
      <c r="V36">
        <v>114123600</v>
      </c>
      <c r="W36">
        <v>2798940000000</v>
      </c>
      <c r="X36" s="1">
        <v>5.5</v>
      </c>
      <c r="Y36" s="1">
        <v>5.5679999999999996</v>
      </c>
      <c r="Z36" s="1">
        <v>7.57</v>
      </c>
      <c r="AA36" s="1">
        <v>5.7149999999999999</v>
      </c>
      <c r="AB36" s="1">
        <v>-9.5180000000000007</v>
      </c>
      <c r="AC36" s="1">
        <v>6.1189999999999998</v>
      </c>
      <c r="AD36" s="1">
        <v>6.3410000000000002</v>
      </c>
      <c r="AE36" s="1">
        <v>6.931</v>
      </c>
      <c r="AF36" s="1">
        <v>7.149</v>
      </c>
      <c r="AG36" s="1">
        <v>6.3479999999999999</v>
      </c>
      <c r="AH36">
        <v>1263.212</v>
      </c>
      <c r="AI36">
        <v>1368.259</v>
      </c>
      <c r="AJ36">
        <v>1469.0329999999999</v>
      </c>
      <c r="AK36">
        <v>437.05500000000001</v>
      </c>
      <c r="AL36">
        <v>461.61700000000002</v>
      </c>
      <c r="AM36">
        <v>487.161</v>
      </c>
      <c r="AN36"/>
      <c r="AO36"/>
      <c r="AP36"/>
      <c r="AQ36"/>
      <c r="AR36"/>
      <c r="AS36"/>
      <c r="AT36"/>
      <c r="AU36"/>
      <c r="AV36"/>
    </row>
    <row r="37" spans="1:48" s="3" customFormat="1">
      <c r="A37" s="3">
        <v>35</v>
      </c>
      <c r="B37" s="4" t="s">
        <v>102</v>
      </c>
      <c r="C37" s="1">
        <f t="shared" si="6"/>
        <v>27.929999999999996</v>
      </c>
      <c r="D37" s="3">
        <v>19</v>
      </c>
      <c r="E37">
        <f t="shared" si="9"/>
        <v>2122.4646666666667</v>
      </c>
      <c r="F37" s="3">
        <v>43</v>
      </c>
      <c r="G37">
        <f t="shared" si="10"/>
        <v>343.31566666666669</v>
      </c>
      <c r="H37">
        <v>29</v>
      </c>
      <c r="I37">
        <f t="shared" si="11"/>
        <v>4729.1214149999996</v>
      </c>
      <c r="J37">
        <v>31</v>
      </c>
      <c r="K37" s="3">
        <v>3077.5540500000002</v>
      </c>
      <c r="L37" s="3">
        <v>16</v>
      </c>
      <c r="M37">
        <v>11944.028</v>
      </c>
      <c r="N37" s="3">
        <v>48</v>
      </c>
      <c r="O37">
        <v>40.11</v>
      </c>
      <c r="P37" s="3">
        <v>31</v>
      </c>
      <c r="Q37">
        <f t="shared" si="7"/>
        <v>1.1808973658319883</v>
      </c>
      <c r="R37" s="3">
        <f t="shared" si="8"/>
        <v>16.937999999999995</v>
      </c>
      <c r="S37" s="3">
        <v>7</v>
      </c>
      <c r="T37">
        <v>80</v>
      </c>
      <c r="U37" s="3">
        <v>6</v>
      </c>
      <c r="V37" s="3">
        <v>223800000</v>
      </c>
      <c r="W37" s="3">
        <v>3973050000000</v>
      </c>
      <c r="X37" s="4">
        <v>3</v>
      </c>
      <c r="Y37" s="4">
        <v>2.86</v>
      </c>
      <c r="Z37" s="4">
        <v>3.2519999999999998</v>
      </c>
      <c r="AA37" s="4">
        <v>3.6469999999999998</v>
      </c>
      <c r="AB37" s="4">
        <v>-1.794</v>
      </c>
      <c r="AC37" s="4">
        <v>2.2080000000000002</v>
      </c>
      <c r="AD37" s="4">
        <v>1.923</v>
      </c>
      <c r="AE37" s="4">
        <v>0.80600000000000005</v>
      </c>
      <c r="AF37" s="4">
        <v>-1.617</v>
      </c>
      <c r="AG37" s="4">
        <v>2.653</v>
      </c>
      <c r="AH37" s="3">
        <v>1985.24</v>
      </c>
      <c r="AI37" s="3">
        <v>2117.3510000000001</v>
      </c>
      <c r="AJ37" s="3">
        <v>2264.8029999999999</v>
      </c>
      <c r="AK37" s="3">
        <v>487.34699999999998</v>
      </c>
      <c r="AL37" s="3">
        <v>252.10900000000001</v>
      </c>
      <c r="AM37" s="3">
        <v>290.49099999999999</v>
      </c>
      <c r="AU37"/>
      <c r="AV37"/>
    </row>
    <row r="38" spans="1:48">
      <c r="A38" s="3">
        <v>36</v>
      </c>
      <c r="B38" s="4" t="s">
        <v>64</v>
      </c>
      <c r="C38" s="1">
        <f t="shared" si="6"/>
        <v>34.570000000000007</v>
      </c>
      <c r="D38" s="3">
        <v>43</v>
      </c>
      <c r="E38">
        <f t="shared" si="9"/>
        <v>676.6586666666667</v>
      </c>
      <c r="F38" s="3">
        <v>29</v>
      </c>
      <c r="G38">
        <f t="shared" si="10"/>
        <v>543.79266666666672</v>
      </c>
      <c r="H38">
        <v>27</v>
      </c>
      <c r="I38">
        <f t="shared" si="11"/>
        <v>5049.6334960000004</v>
      </c>
      <c r="J38">
        <v>30</v>
      </c>
      <c r="K38" s="3">
        <v>3495.4684200000002</v>
      </c>
      <c r="L38" s="3">
        <v>34</v>
      </c>
      <c r="M38">
        <v>3697.1610000000001</v>
      </c>
      <c r="N38" s="3">
        <v>41</v>
      </c>
      <c r="O38">
        <v>70.42</v>
      </c>
      <c r="P38" s="3">
        <v>42</v>
      </c>
      <c r="Q38">
        <f t="shared" si="7"/>
        <v>1.1049734554737436</v>
      </c>
      <c r="R38" s="3">
        <f t="shared" si="8"/>
        <v>10.504000000000001</v>
      </c>
      <c r="S38" s="3">
        <v>43</v>
      </c>
      <c r="T38">
        <v>4.5</v>
      </c>
      <c r="U38" s="3">
        <v>45</v>
      </c>
      <c r="V38" s="5">
        <v>9200931</v>
      </c>
      <c r="W38" s="3">
        <v>4242320000000</v>
      </c>
      <c r="X38" s="4">
        <v>-0.3</v>
      </c>
      <c r="Y38" s="4">
        <v>-0.746</v>
      </c>
      <c r="Z38" s="4">
        <v>4.806</v>
      </c>
      <c r="AA38" s="4">
        <v>4.2380000000000004</v>
      </c>
      <c r="AB38" s="4">
        <v>-6.633</v>
      </c>
      <c r="AC38" s="4">
        <v>1.4510000000000001</v>
      </c>
      <c r="AD38" s="4">
        <v>2.4249999999999998</v>
      </c>
      <c r="AE38" s="4">
        <v>2.2589999999999999</v>
      </c>
      <c r="AF38" s="4">
        <v>1.9890000000000001</v>
      </c>
      <c r="AG38" s="4">
        <v>1.0149999999999999</v>
      </c>
      <c r="AH38" s="3">
        <v>660.91399999999999</v>
      </c>
      <c r="AI38" s="3">
        <v>672.85699999999997</v>
      </c>
      <c r="AJ38" s="3">
        <v>696.20500000000004</v>
      </c>
      <c r="AK38" s="3">
        <v>516.82000000000005</v>
      </c>
      <c r="AL38" s="3">
        <v>534.63</v>
      </c>
      <c r="AM38" s="3">
        <v>579.928</v>
      </c>
      <c r="AN38" s="3"/>
      <c r="AO38" s="3"/>
      <c r="AP38" s="3"/>
      <c r="AQ38" s="3"/>
      <c r="AR38" s="3"/>
      <c r="AS38" s="3"/>
      <c r="AT38" s="3"/>
      <c r="AU38" s="3"/>
      <c r="AV38" s="3"/>
    </row>
    <row r="39" spans="1:48" s="3" customFormat="1">
      <c r="A39" s="3">
        <v>37</v>
      </c>
      <c r="B39" s="4" t="s">
        <v>61</v>
      </c>
      <c r="C39" s="1">
        <f t="shared" si="6"/>
        <v>34.959999999999994</v>
      </c>
      <c r="D39" s="3">
        <v>34</v>
      </c>
      <c r="E39">
        <f t="shared" si="9"/>
        <v>926.55499999999995</v>
      </c>
      <c r="F39" s="3">
        <v>26</v>
      </c>
      <c r="G39">
        <f t="shared" si="10"/>
        <v>562.64300000000003</v>
      </c>
      <c r="H39">
        <v>37</v>
      </c>
      <c r="I39">
        <f t="shared" si="11"/>
        <v>3288.251362</v>
      </c>
      <c r="J39">
        <v>38</v>
      </c>
      <c r="K39" s="3">
        <v>1955.2618199999999</v>
      </c>
      <c r="L39" s="3">
        <v>40</v>
      </c>
      <c r="M39">
        <v>2975.3009999999999</v>
      </c>
      <c r="N39" s="3">
        <v>44</v>
      </c>
      <c r="O39">
        <v>57.4</v>
      </c>
      <c r="P39" s="3">
        <v>16</v>
      </c>
      <c r="Q39">
        <f t="shared" si="7"/>
        <v>1.3202870670115392</v>
      </c>
      <c r="R39" s="3">
        <f t="shared" si="8"/>
        <v>28.675000000000001</v>
      </c>
      <c r="S39" s="3">
        <v>47</v>
      </c>
      <c r="T39">
        <v>4.0460000000000003</v>
      </c>
      <c r="U39" s="3">
        <v>47</v>
      </c>
      <c r="V39" s="5">
        <v>6036900</v>
      </c>
      <c r="W39" s="3">
        <v>2762540000000</v>
      </c>
      <c r="X39" s="4">
        <v>2</v>
      </c>
      <c r="Y39" s="4">
        <v>1.075</v>
      </c>
      <c r="Z39" s="4">
        <v>3.8380000000000001</v>
      </c>
      <c r="AA39" s="4">
        <v>9.6910000000000007</v>
      </c>
      <c r="AB39" s="4">
        <v>-3.87</v>
      </c>
      <c r="AC39" s="4">
        <v>1.345</v>
      </c>
      <c r="AD39" s="4">
        <v>3.5169999999999999</v>
      </c>
      <c r="AE39" s="4">
        <v>4.5129999999999999</v>
      </c>
      <c r="AF39" s="4">
        <v>3.589</v>
      </c>
      <c r="AG39" s="4">
        <v>2.9769999999999999</v>
      </c>
      <c r="AH39" s="3">
        <v>856.44899999999996</v>
      </c>
      <c r="AI39" s="3">
        <v>924.61199999999997</v>
      </c>
      <c r="AJ39" s="3">
        <v>998.60400000000004</v>
      </c>
      <c r="AK39" s="3">
        <v>511.18200000000002</v>
      </c>
      <c r="AL39" s="3">
        <v>572.87699999999995</v>
      </c>
      <c r="AM39" s="3">
        <v>603.87</v>
      </c>
    </row>
    <row r="40" spans="1:48" s="3" customFormat="1">
      <c r="A40" s="3">
        <v>38</v>
      </c>
      <c r="B40" s="4" t="s">
        <v>63</v>
      </c>
      <c r="C40" s="1">
        <f t="shared" si="6"/>
        <v>34.340000000000003</v>
      </c>
      <c r="D40" s="3">
        <v>46</v>
      </c>
      <c r="E40">
        <f t="shared" si="9"/>
        <v>545.12533333333329</v>
      </c>
      <c r="F40" s="3">
        <v>27</v>
      </c>
      <c r="G40">
        <f t="shared" si="10"/>
        <v>555.4856666666667</v>
      </c>
      <c r="H40">
        <v>28</v>
      </c>
      <c r="I40">
        <f t="shared" si="11"/>
        <v>4900.9174139999996</v>
      </c>
      <c r="J40">
        <v>23</v>
      </c>
      <c r="K40" s="3">
        <v>5464.7099275</v>
      </c>
      <c r="L40" s="3">
        <v>48</v>
      </c>
      <c r="M40">
        <v>1665.299</v>
      </c>
      <c r="N40" s="3">
        <v>42</v>
      </c>
      <c r="O40">
        <v>67.48</v>
      </c>
      <c r="P40" s="3">
        <v>10</v>
      </c>
      <c r="Q40">
        <f t="shared" si="7"/>
        <v>1.452300597600606</v>
      </c>
      <c r="R40" s="3">
        <f t="shared" si="8"/>
        <v>38.366</v>
      </c>
      <c r="S40" s="3">
        <v>44</v>
      </c>
      <c r="T40">
        <v>4.4370000000000003</v>
      </c>
      <c r="U40" s="3">
        <v>44</v>
      </c>
      <c r="V40" s="3">
        <v>10119400</v>
      </c>
      <c r="W40" s="3">
        <v>4117380000000</v>
      </c>
      <c r="X40" s="4">
        <v>3.2</v>
      </c>
      <c r="Y40" s="4">
        <v>2.0030000000000001</v>
      </c>
      <c r="Z40" s="4">
        <v>6.47</v>
      </c>
      <c r="AA40" s="4">
        <v>9.3439999999999994</v>
      </c>
      <c r="AB40" s="4">
        <v>-1.4650000000000001</v>
      </c>
      <c r="AC40" s="4">
        <v>3.7850000000000001</v>
      </c>
      <c r="AD40" s="4">
        <v>4.0750000000000002</v>
      </c>
      <c r="AE40" s="4">
        <v>4.2729999999999997</v>
      </c>
      <c r="AF40" s="4">
        <v>4.367</v>
      </c>
      <c r="AG40" s="4">
        <v>2.3140000000000001</v>
      </c>
      <c r="AH40">
        <v>522.529</v>
      </c>
      <c r="AI40">
        <v>540.60799999999995</v>
      </c>
      <c r="AJ40" s="3">
        <v>572.23900000000003</v>
      </c>
      <c r="AK40" s="3">
        <v>513.39400000000001</v>
      </c>
      <c r="AL40" s="3">
        <v>542.28499999999997</v>
      </c>
      <c r="AM40" s="3">
        <v>610.77800000000002</v>
      </c>
      <c r="AU40"/>
      <c r="AV40"/>
    </row>
    <row r="41" spans="1:48" s="3" customFormat="1">
      <c r="A41" s="3">
        <v>39</v>
      </c>
      <c r="B41" s="1" t="s">
        <v>85</v>
      </c>
      <c r="C41" s="1">
        <f t="shared" si="6"/>
        <v>34.95000000000001</v>
      </c>
      <c r="D41" s="3">
        <v>33</v>
      </c>
      <c r="E41">
        <f t="shared" si="9"/>
        <v>994.18333333333339</v>
      </c>
      <c r="F41" s="3">
        <v>38</v>
      </c>
      <c r="G41">
        <f t="shared" si="10"/>
        <v>403.18366666666674</v>
      </c>
      <c r="H41">
        <v>40</v>
      </c>
      <c r="I41">
        <f t="shared" si="11"/>
        <v>3069.712282</v>
      </c>
      <c r="J41">
        <v>33</v>
      </c>
      <c r="K41" s="3">
        <v>2423.9183224999997</v>
      </c>
      <c r="L41" s="3">
        <v>38</v>
      </c>
      <c r="M41">
        <v>3460.3890000000001</v>
      </c>
      <c r="N41" s="3">
        <v>22</v>
      </c>
      <c r="O41">
        <v>231.79</v>
      </c>
      <c r="P41" s="3">
        <v>47</v>
      </c>
      <c r="Q41">
        <f t="shared" si="7"/>
        <v>1.0710820243626138</v>
      </c>
      <c r="R41">
        <f t="shared" si="8"/>
        <v>7.2139999999999986</v>
      </c>
      <c r="S41" s="3">
        <v>28</v>
      </c>
      <c r="T41">
        <v>16.806999999999999</v>
      </c>
      <c r="U41" s="3">
        <v>21</v>
      </c>
      <c r="V41">
        <v>63100945</v>
      </c>
      <c r="W41">
        <v>2578940000000</v>
      </c>
      <c r="X41" s="1">
        <v>1</v>
      </c>
      <c r="Y41" s="1">
        <v>0.60199999999999998</v>
      </c>
      <c r="Z41" s="1">
        <v>1.91</v>
      </c>
      <c r="AA41" s="1">
        <v>4.7030000000000003</v>
      </c>
      <c r="AB41" s="1">
        <v>-5.9630000000000001</v>
      </c>
      <c r="AC41" s="1">
        <v>0.26</v>
      </c>
      <c r="AD41" s="1">
        <v>1.5569999999999999</v>
      </c>
      <c r="AE41" s="1">
        <v>1.1579999999999999</v>
      </c>
      <c r="AF41" s="1">
        <v>0.66500000000000004</v>
      </c>
      <c r="AG41" s="1">
        <v>1.3220000000000001</v>
      </c>
      <c r="AH41">
        <v>961.601</v>
      </c>
      <c r="AI41">
        <v>990.74400000000003</v>
      </c>
      <c r="AJ41">
        <v>1030.2049999999999</v>
      </c>
      <c r="AK41">
        <v>381.334</v>
      </c>
      <c r="AL41">
        <v>401.07600000000002</v>
      </c>
      <c r="AM41">
        <v>427.14100000000002</v>
      </c>
      <c r="AN41"/>
      <c r="AO41"/>
      <c r="AP41"/>
      <c r="AQ41"/>
      <c r="AU41"/>
      <c r="AV41"/>
    </row>
    <row r="42" spans="1:48" s="3" customFormat="1">
      <c r="A42" s="3">
        <v>40</v>
      </c>
      <c r="B42" s="4" t="s">
        <v>100</v>
      </c>
      <c r="C42" s="1">
        <f t="shared" si="6"/>
        <v>36.209999999999994</v>
      </c>
      <c r="D42" s="3">
        <v>27</v>
      </c>
      <c r="E42">
        <f t="shared" si="9"/>
        <v>1596.89</v>
      </c>
      <c r="F42" s="3">
        <v>42</v>
      </c>
      <c r="G42">
        <f t="shared" si="10"/>
        <v>372.19466666666671</v>
      </c>
      <c r="H42">
        <v>43</v>
      </c>
      <c r="I42">
        <f t="shared" si="11"/>
        <v>2968.5367820000001</v>
      </c>
      <c r="J42">
        <v>47</v>
      </c>
      <c r="K42" s="3">
        <v>1065.231765</v>
      </c>
      <c r="L42" s="3">
        <v>44</v>
      </c>
      <c r="M42">
        <v>2426.038</v>
      </c>
      <c r="N42" s="3">
        <v>26</v>
      </c>
      <c r="O42">
        <v>171.18</v>
      </c>
      <c r="P42" s="3">
        <v>12</v>
      </c>
      <c r="Q42">
        <f t="shared" si="7"/>
        <v>1.4088464409343533</v>
      </c>
      <c r="R42" s="3">
        <f t="shared" si="8"/>
        <v>35.139000000000003</v>
      </c>
      <c r="S42" s="3">
        <v>6</v>
      </c>
      <c r="T42">
        <v>86</v>
      </c>
      <c r="U42" s="3">
        <v>5</v>
      </c>
      <c r="V42" s="3">
        <v>241499431</v>
      </c>
      <c r="W42" s="3">
        <v>2493940000000</v>
      </c>
      <c r="X42" s="4">
        <v>2.6</v>
      </c>
      <c r="Y42" s="4">
        <v>-0.16600000000000001</v>
      </c>
      <c r="Z42" s="4">
        <v>6.1689999999999996</v>
      </c>
      <c r="AA42" s="4">
        <v>5.77</v>
      </c>
      <c r="AB42" s="4">
        <v>-0.94299999999999995</v>
      </c>
      <c r="AC42" s="4">
        <v>3.12</v>
      </c>
      <c r="AD42" s="4">
        <v>6.0960000000000001</v>
      </c>
      <c r="AE42" s="4">
        <v>4.609</v>
      </c>
      <c r="AF42" s="4">
        <v>4.0720000000000001</v>
      </c>
      <c r="AG42" s="4">
        <v>3.8119999999999998</v>
      </c>
      <c r="AH42" s="3">
        <v>1512.7139999999999</v>
      </c>
      <c r="AI42" s="3">
        <v>1591.1020000000001</v>
      </c>
      <c r="AJ42" s="3">
        <v>1686.854</v>
      </c>
      <c r="AK42" s="3">
        <v>336.55500000000001</v>
      </c>
      <c r="AL42" s="3">
        <v>372.24299999999999</v>
      </c>
      <c r="AM42" s="3">
        <v>407.786</v>
      </c>
      <c r="AR42"/>
      <c r="AS42"/>
      <c r="AT42"/>
      <c r="AU42"/>
      <c r="AV42"/>
    </row>
    <row r="43" spans="1:48" s="3" customFormat="1">
      <c r="A43" s="3">
        <v>41</v>
      </c>
      <c r="B43" s="1" t="s">
        <v>84</v>
      </c>
      <c r="C43" s="1">
        <f t="shared" si="6"/>
        <v>36.609999999999992</v>
      </c>
      <c r="D43" s="3">
        <v>32</v>
      </c>
      <c r="E43">
        <f t="shared" si="9"/>
        <v>1139.3396666666665</v>
      </c>
      <c r="F43" s="3">
        <v>37</v>
      </c>
      <c r="G43">
        <f t="shared" si="10"/>
        <v>414.93833333333333</v>
      </c>
      <c r="H43">
        <v>41</v>
      </c>
      <c r="I43">
        <f t="shared" si="11"/>
        <v>3067.4626149999999</v>
      </c>
      <c r="J43">
        <v>46</v>
      </c>
      <c r="K43" s="3">
        <v>1195.3454575000001</v>
      </c>
      <c r="L43" s="3">
        <v>37</v>
      </c>
      <c r="M43">
        <v>3472.248</v>
      </c>
      <c r="N43" s="3">
        <v>38</v>
      </c>
      <c r="O43">
        <v>89.53</v>
      </c>
      <c r="P43" s="3">
        <v>17</v>
      </c>
      <c r="Q43">
        <f t="shared" si="7"/>
        <v>1.2816537610362153</v>
      </c>
      <c r="R43">
        <f t="shared" si="8"/>
        <v>26.070000000000004</v>
      </c>
      <c r="S43" s="3">
        <v>23</v>
      </c>
      <c r="T43">
        <v>23.969000000000001</v>
      </c>
      <c r="U43" s="3">
        <v>23</v>
      </c>
      <c r="V43">
        <v>53057212</v>
      </c>
      <c r="W43">
        <v>2577050000000</v>
      </c>
      <c r="X43" s="1">
        <v>2.4</v>
      </c>
      <c r="Y43" s="1">
        <v>0.61199999999999999</v>
      </c>
      <c r="Z43" s="1">
        <v>7.2889999999999997</v>
      </c>
      <c r="AA43" s="1">
        <v>10.801</v>
      </c>
      <c r="AB43" s="1">
        <v>-7.1859999999999999</v>
      </c>
      <c r="AC43" s="1">
        <v>3.1869999999999998</v>
      </c>
      <c r="AD43" s="1">
        <v>2.5640000000000001</v>
      </c>
      <c r="AE43" s="1">
        <v>1.359</v>
      </c>
      <c r="AF43" s="1">
        <v>2.0880000000000001</v>
      </c>
      <c r="AG43" s="1">
        <v>2.956</v>
      </c>
      <c r="AH43">
        <v>1089.2280000000001</v>
      </c>
      <c r="AI43">
        <v>1132.9359999999999</v>
      </c>
      <c r="AJ43">
        <v>1195.855</v>
      </c>
      <c r="AK43">
        <v>366.90100000000001</v>
      </c>
      <c r="AL43">
        <v>420.50400000000002</v>
      </c>
      <c r="AM43">
        <v>457.41</v>
      </c>
      <c r="AN43"/>
      <c r="AO43"/>
      <c r="AP43"/>
      <c r="AQ43"/>
    </row>
    <row r="44" spans="1:48">
      <c r="A44" s="3">
        <v>42</v>
      </c>
      <c r="B44" s="4" t="s">
        <v>60</v>
      </c>
      <c r="C44" s="1">
        <f t="shared" si="6"/>
        <v>37.329999999999991</v>
      </c>
      <c r="D44" s="3">
        <v>47</v>
      </c>
      <c r="E44">
        <f t="shared" si="9"/>
        <v>487.82133333333331</v>
      </c>
      <c r="F44" s="3">
        <v>36</v>
      </c>
      <c r="G44">
        <f t="shared" si="10"/>
        <v>430.29833333333335</v>
      </c>
      <c r="H44">
        <v>25</v>
      </c>
      <c r="I44">
        <f t="shared" si="11"/>
        <v>5109.8031609999998</v>
      </c>
      <c r="J44">
        <v>26</v>
      </c>
      <c r="K44" s="3">
        <v>4172.1436450000001</v>
      </c>
      <c r="L44" s="3">
        <v>46</v>
      </c>
      <c r="M44">
        <v>2274.893</v>
      </c>
      <c r="N44" s="3">
        <v>49</v>
      </c>
      <c r="O44">
        <v>36.74</v>
      </c>
      <c r="P44" s="3">
        <v>20</v>
      </c>
      <c r="Q44">
        <f t="shared" si="7"/>
        <v>1.2619231179502768</v>
      </c>
      <c r="R44" s="3">
        <f t="shared" si="8"/>
        <v>23.76</v>
      </c>
      <c r="S44" s="3">
        <v>48</v>
      </c>
      <c r="T44">
        <v>3.0859999999999999</v>
      </c>
      <c r="U44" s="3">
        <v>48</v>
      </c>
      <c r="V44" s="3">
        <v>6004342</v>
      </c>
      <c r="W44" s="3">
        <v>4292870000000</v>
      </c>
      <c r="X44" s="4">
        <v>2.9</v>
      </c>
      <c r="Y44" s="4">
        <v>1.8129999999999999</v>
      </c>
      <c r="Z44" s="4">
        <v>2.7309999999999999</v>
      </c>
      <c r="AA44" s="4">
        <v>6.8449999999999998</v>
      </c>
      <c r="AB44" s="4">
        <v>-2.423</v>
      </c>
      <c r="AC44" s="4">
        <v>1.4930000000000001</v>
      </c>
      <c r="AD44" s="4">
        <v>1.9910000000000001</v>
      </c>
      <c r="AE44" s="4">
        <v>2.819</v>
      </c>
      <c r="AF44" s="4">
        <v>3.2480000000000002</v>
      </c>
      <c r="AG44" s="4">
        <v>2.343</v>
      </c>
      <c r="AH44">
        <v>459.85700000000003</v>
      </c>
      <c r="AI44" s="3">
        <v>487.66699999999997</v>
      </c>
      <c r="AJ44">
        <v>515.94000000000005</v>
      </c>
      <c r="AK44">
        <v>404.65199999999999</v>
      </c>
      <c r="AL44">
        <v>424.52499999999998</v>
      </c>
      <c r="AM44">
        <v>461.71800000000002</v>
      </c>
      <c r="AU44" s="3"/>
      <c r="AV44" s="3"/>
    </row>
    <row r="45" spans="1:48" s="3" customFormat="1">
      <c r="A45" s="3">
        <v>43</v>
      </c>
      <c r="B45" s="4" t="s">
        <v>68</v>
      </c>
      <c r="C45" s="1">
        <f t="shared" si="6"/>
        <v>38.07</v>
      </c>
      <c r="D45" s="3">
        <v>35</v>
      </c>
      <c r="E45">
        <f t="shared" si="9"/>
        <v>886.97333333333336</v>
      </c>
      <c r="F45" s="3">
        <v>40</v>
      </c>
      <c r="G45">
        <f t="shared" si="10"/>
        <v>386.14000000000004</v>
      </c>
      <c r="H45">
        <v>46</v>
      </c>
      <c r="I45">
        <f t="shared" si="11"/>
        <v>1805.9350629999997</v>
      </c>
      <c r="J45">
        <v>35</v>
      </c>
      <c r="K45" s="3">
        <v>2170.6686250000002</v>
      </c>
      <c r="L45" s="3">
        <v>42</v>
      </c>
      <c r="M45">
        <v>2684.8220000000001</v>
      </c>
      <c r="N45" s="3">
        <v>45</v>
      </c>
      <c r="O45">
        <v>53.9</v>
      </c>
      <c r="P45" s="3">
        <v>13</v>
      </c>
      <c r="Q45">
        <f t="shared" si="7"/>
        <v>1.396764579560251</v>
      </c>
      <c r="R45" s="3">
        <f t="shared" si="8"/>
        <v>34.433999999999997</v>
      </c>
      <c r="S45" s="3">
        <v>42</v>
      </c>
      <c r="T45">
        <v>5.1680000000000001</v>
      </c>
      <c r="U45" s="3">
        <v>38</v>
      </c>
      <c r="V45" s="3">
        <v>19036031</v>
      </c>
      <c r="W45" s="3">
        <v>1517210000000</v>
      </c>
      <c r="X45" s="4">
        <v>1.6</v>
      </c>
      <c r="Y45" s="4">
        <v>2.11</v>
      </c>
      <c r="Z45" s="4">
        <v>4.5949999999999998</v>
      </c>
      <c r="AA45" s="4">
        <v>5.7089999999999996</v>
      </c>
      <c r="AB45" s="4">
        <v>-3.677</v>
      </c>
      <c r="AC45" s="4">
        <v>3.8530000000000002</v>
      </c>
      <c r="AD45" s="4">
        <v>6.0289999999999999</v>
      </c>
      <c r="AE45" s="4">
        <v>8.1969999999999992</v>
      </c>
      <c r="AF45" s="4">
        <v>2.8580000000000001</v>
      </c>
      <c r="AG45" s="4">
        <v>3.16</v>
      </c>
      <c r="AH45">
        <v>857.024</v>
      </c>
      <c r="AI45">
        <v>886.346</v>
      </c>
      <c r="AJ45">
        <v>917.55</v>
      </c>
      <c r="AK45">
        <v>347.82900000000001</v>
      </c>
      <c r="AL45">
        <v>382.65</v>
      </c>
      <c r="AM45">
        <v>427.94099999999997</v>
      </c>
      <c r="AN45"/>
      <c r="AO45"/>
      <c r="AP45"/>
      <c r="AQ45"/>
    </row>
    <row r="46" spans="1:48">
      <c r="A46" s="3">
        <v>44</v>
      </c>
      <c r="B46" s="4" t="s">
        <v>73</v>
      </c>
      <c r="C46" s="1">
        <f t="shared" si="6"/>
        <v>37.440000000000005</v>
      </c>
      <c r="D46" s="3">
        <v>39</v>
      </c>
      <c r="E46">
        <f t="shared" si="9"/>
        <v>828.47833333333335</v>
      </c>
      <c r="F46" s="3">
        <v>46</v>
      </c>
      <c r="G46">
        <f t="shared" si="10"/>
        <v>267.65033333333332</v>
      </c>
      <c r="H46">
        <v>35</v>
      </c>
      <c r="I46">
        <f t="shared" si="11"/>
        <v>3505.8143959999993</v>
      </c>
      <c r="J46">
        <v>32</v>
      </c>
      <c r="K46" s="3">
        <v>2603.0450424999999</v>
      </c>
      <c r="L46" s="3">
        <v>39</v>
      </c>
      <c r="M46">
        <v>3319.7860000000001</v>
      </c>
      <c r="N46" s="3">
        <v>37</v>
      </c>
      <c r="O46">
        <v>94.02</v>
      </c>
      <c r="P46" s="3">
        <v>26</v>
      </c>
      <c r="Q46">
        <f t="shared" si="7"/>
        <v>1.2271903030353266</v>
      </c>
      <c r="R46" s="3">
        <f t="shared" si="8"/>
        <v>21.030999999999999</v>
      </c>
      <c r="S46" s="3">
        <v>34</v>
      </c>
      <c r="T46">
        <v>11.5</v>
      </c>
      <c r="U46" s="3">
        <v>26</v>
      </c>
      <c r="V46" s="3">
        <v>47400000</v>
      </c>
      <c r="W46" s="3">
        <v>2945320000000</v>
      </c>
      <c r="X46" s="4">
        <v>3.5</v>
      </c>
      <c r="Y46" s="4">
        <v>4.1840000000000002</v>
      </c>
      <c r="Z46" s="4">
        <v>3.6160000000000001</v>
      </c>
      <c r="AA46" s="4">
        <v>3.8050000000000002</v>
      </c>
      <c r="AB46" s="4">
        <v>-5.0170000000000003</v>
      </c>
      <c r="AC46" s="4">
        <v>0.93300000000000005</v>
      </c>
      <c r="AD46" s="4">
        <v>1.44</v>
      </c>
      <c r="AE46" s="4">
        <v>1.524</v>
      </c>
      <c r="AF46" s="4">
        <v>3.8839999999999999</v>
      </c>
      <c r="AG46" s="4">
        <v>3.1619999999999999</v>
      </c>
      <c r="AH46" s="3">
        <v>777.32799999999997</v>
      </c>
      <c r="AI46" s="3">
        <v>826.1</v>
      </c>
      <c r="AJ46" s="3">
        <v>882.00699999999995</v>
      </c>
      <c r="AK46" s="3">
        <v>248.08699999999999</v>
      </c>
      <c r="AL46" s="3">
        <v>269.14</v>
      </c>
      <c r="AM46" s="3">
        <v>285.72399999999999</v>
      </c>
      <c r="AN46" s="3"/>
      <c r="AO46" s="3"/>
      <c r="AP46" s="3"/>
      <c r="AQ46" s="3"/>
      <c r="AR46" s="3"/>
      <c r="AS46" s="3"/>
      <c r="AT46" s="3"/>
    </row>
    <row r="47" spans="1:48" s="3" customFormat="1">
      <c r="A47" s="3">
        <v>45</v>
      </c>
      <c r="B47" s="1" t="s">
        <v>69</v>
      </c>
      <c r="C47" s="1">
        <f t="shared" si="6"/>
        <v>38.840000000000003</v>
      </c>
      <c r="D47" s="3">
        <v>42</v>
      </c>
      <c r="E47">
        <f t="shared" si="9"/>
        <v>679.60833333333346</v>
      </c>
      <c r="F47" s="3">
        <v>44</v>
      </c>
      <c r="G47">
        <f t="shared" si="10"/>
        <v>340.39433333333335</v>
      </c>
      <c r="H47">
        <v>39</v>
      </c>
      <c r="I47">
        <f t="shared" si="11"/>
        <v>3234.068906</v>
      </c>
      <c r="J47">
        <v>28</v>
      </c>
      <c r="K47" s="3">
        <v>3645.5981075</v>
      </c>
      <c r="L47" s="3">
        <v>45</v>
      </c>
      <c r="M47">
        <v>2292.1709999999998</v>
      </c>
      <c r="N47" s="3">
        <v>39</v>
      </c>
      <c r="O47">
        <v>87.69</v>
      </c>
      <c r="P47" s="3">
        <v>29</v>
      </c>
      <c r="Q47">
        <f t="shared" si="7"/>
        <v>1.2019446509053593</v>
      </c>
      <c r="R47">
        <f t="shared" si="8"/>
        <v>19.356000000000002</v>
      </c>
      <c r="S47" s="3">
        <v>39</v>
      </c>
      <c r="T47">
        <v>9.33</v>
      </c>
      <c r="U47" s="3">
        <v>37</v>
      </c>
      <c r="V47">
        <v>20206953</v>
      </c>
      <c r="W47">
        <v>2717020000000</v>
      </c>
      <c r="X47" s="1">
        <v>2</v>
      </c>
      <c r="Y47" s="1">
        <v>0.219</v>
      </c>
      <c r="Z47" s="1">
        <v>2.0590000000000002</v>
      </c>
      <c r="AA47" s="1">
        <v>11.334</v>
      </c>
      <c r="AB47" s="1">
        <v>-6.1429999999999998</v>
      </c>
      <c r="AC47" s="1">
        <v>0.63400000000000001</v>
      </c>
      <c r="AD47" s="1">
        <v>3.99</v>
      </c>
      <c r="AE47" s="1">
        <v>1.3580000000000001</v>
      </c>
      <c r="AF47" s="1">
        <v>1.7529999999999999</v>
      </c>
      <c r="AG47" s="1">
        <v>2.1520000000000001</v>
      </c>
      <c r="AH47" s="3">
        <v>645.50800000000004</v>
      </c>
      <c r="AI47">
        <v>679.02599999999995</v>
      </c>
      <c r="AJ47" s="3">
        <v>714.29100000000005</v>
      </c>
      <c r="AK47" s="3">
        <v>335.62700000000001</v>
      </c>
      <c r="AL47" s="3">
        <v>330.21</v>
      </c>
      <c r="AM47" s="3">
        <v>355.346</v>
      </c>
      <c r="AR47"/>
      <c r="AS47"/>
      <c r="AT47"/>
    </row>
    <row r="48" spans="1:48" s="3" customFormat="1">
      <c r="A48">
        <v>46</v>
      </c>
      <c r="B48" s="1" t="s">
        <v>62</v>
      </c>
      <c r="C48" s="1">
        <f t="shared" si="6"/>
        <v>45.31</v>
      </c>
      <c r="D48">
        <v>48</v>
      </c>
      <c r="E48">
        <f t="shared" si="9"/>
        <v>445.29466666666667</v>
      </c>
      <c r="F48">
        <v>47</v>
      </c>
      <c r="G48">
        <f t="shared" si="10"/>
        <v>259.88433333333336</v>
      </c>
      <c r="H48">
        <v>47</v>
      </c>
      <c r="I48">
        <f t="shared" si="11"/>
        <v>1642.1616859999999</v>
      </c>
      <c r="J48">
        <v>45</v>
      </c>
      <c r="K48">
        <v>1329.2382850000001</v>
      </c>
      <c r="L48">
        <v>41</v>
      </c>
      <c r="M48">
        <v>2963.413</v>
      </c>
      <c r="N48">
        <v>46</v>
      </c>
      <c r="O48">
        <v>53.73</v>
      </c>
      <c r="P48">
        <v>38</v>
      </c>
      <c r="Q48">
        <f t="shared" si="7"/>
        <v>1.1226174851190689</v>
      </c>
      <c r="R48">
        <f t="shared" si="8"/>
        <v>12.589</v>
      </c>
      <c r="S48">
        <v>45</v>
      </c>
      <c r="T48">
        <v>4.3579999999999997</v>
      </c>
      <c r="U48">
        <v>43</v>
      </c>
      <c r="V48">
        <v>10400000</v>
      </c>
      <c r="W48">
        <v>1379620000000</v>
      </c>
      <c r="X48">
        <v>2</v>
      </c>
      <c r="Y48">
        <v>2.0110000000000001</v>
      </c>
      <c r="Z48">
        <v>5.5570000000000004</v>
      </c>
      <c r="AA48">
        <v>8.3800000000000008</v>
      </c>
      <c r="AB48">
        <v>-9.3160000000000007</v>
      </c>
      <c r="AC48">
        <v>1.88</v>
      </c>
      <c r="AD48">
        <v>1.6679999999999999</v>
      </c>
      <c r="AE48">
        <v>1.0920000000000001</v>
      </c>
      <c r="AF48">
        <v>-0.48699999999999999</v>
      </c>
      <c r="AG48">
        <v>-0.19600000000000001</v>
      </c>
      <c r="AH48">
        <v>424.84500000000003</v>
      </c>
      <c r="AI48" s="3">
        <v>444.47699999999998</v>
      </c>
      <c r="AJ48">
        <v>466.56200000000001</v>
      </c>
      <c r="AK48">
        <v>243.01599999999999</v>
      </c>
      <c r="AL48">
        <v>256.161</v>
      </c>
      <c r="AM48">
        <v>280.476</v>
      </c>
      <c r="AN48"/>
      <c r="AO48"/>
      <c r="AP48"/>
      <c r="AQ48"/>
      <c r="AR48"/>
      <c r="AS48"/>
      <c r="AT48"/>
    </row>
    <row r="49" spans="1:46">
      <c r="A49">
        <v>47</v>
      </c>
      <c r="B49" s="1" t="s">
        <v>71</v>
      </c>
      <c r="C49" s="1">
        <f t="shared" si="6"/>
        <v>41.8</v>
      </c>
      <c r="D49">
        <v>41</v>
      </c>
      <c r="E49">
        <f t="shared" si="9"/>
        <v>682.45733333333339</v>
      </c>
      <c r="F49">
        <v>45</v>
      </c>
      <c r="G49">
        <f t="shared" si="10"/>
        <v>273.8296666666667</v>
      </c>
      <c r="H49">
        <v>45</v>
      </c>
      <c r="I49">
        <f t="shared" si="11"/>
        <v>2223.0876010000002</v>
      </c>
      <c r="J49">
        <v>42</v>
      </c>
      <c r="K49">
        <v>1691.097755</v>
      </c>
      <c r="L49">
        <v>47</v>
      </c>
      <c r="M49">
        <v>1946.8969999999999</v>
      </c>
      <c r="N49">
        <v>30</v>
      </c>
      <c r="O49">
        <v>153.41999999999999</v>
      </c>
      <c r="P49">
        <v>36</v>
      </c>
      <c r="Q49">
        <f t="shared" si="7"/>
        <v>1.1592966524261725</v>
      </c>
      <c r="R49">
        <f t="shared" si="8"/>
        <v>17.239999999999998</v>
      </c>
      <c r="S49">
        <v>29</v>
      </c>
      <c r="T49">
        <v>15.8</v>
      </c>
      <c r="U49">
        <v>28</v>
      </c>
      <c r="V49">
        <v>45500000</v>
      </c>
      <c r="W49" s="3">
        <v>1867670000000</v>
      </c>
      <c r="X49">
        <v>-1.5</v>
      </c>
      <c r="Y49">
        <v>-2.1760000000000002</v>
      </c>
      <c r="Z49">
        <v>6.9829999999999997</v>
      </c>
      <c r="AA49">
        <v>1.58</v>
      </c>
      <c r="AB49">
        <v>-12.055</v>
      </c>
      <c r="AC49">
        <v>5.3680000000000003</v>
      </c>
      <c r="AD49">
        <v>4.7030000000000003</v>
      </c>
      <c r="AE49">
        <v>-3.399</v>
      </c>
      <c r="AF49">
        <v>15.199</v>
      </c>
      <c r="AG49">
        <v>2.5369999999999999</v>
      </c>
      <c r="AH49">
        <v>665.47500000000002</v>
      </c>
      <c r="AI49">
        <v>682.72</v>
      </c>
      <c r="AJ49">
        <v>699.17700000000002</v>
      </c>
      <c r="AK49">
        <v>270.79899999999998</v>
      </c>
      <c r="AL49">
        <v>286.52300000000002</v>
      </c>
      <c r="AM49">
        <v>264.16699999999997</v>
      </c>
      <c r="AR49" s="3"/>
      <c r="AS49" s="3"/>
      <c r="AT49" s="3"/>
    </row>
    <row r="50" spans="1:46">
      <c r="A50">
        <v>48</v>
      </c>
      <c r="B50" s="1" t="s">
        <v>79</v>
      </c>
      <c r="C50" s="1">
        <f t="shared" si="6"/>
        <v>41.18</v>
      </c>
      <c r="D50">
        <v>44</v>
      </c>
      <c r="E50">
        <f t="shared" si="9"/>
        <v>657.84766666666667</v>
      </c>
      <c r="F50">
        <v>48</v>
      </c>
      <c r="G50">
        <f t="shared" si="10"/>
        <v>194.99433333333334</v>
      </c>
      <c r="H50">
        <v>48</v>
      </c>
      <c r="I50">
        <f t="shared" si="11"/>
        <v>1537.105808</v>
      </c>
      <c r="J50">
        <v>49</v>
      </c>
      <c r="K50">
        <v>629.42631249999999</v>
      </c>
      <c r="L50">
        <v>17</v>
      </c>
      <c r="M50">
        <v>11466.384</v>
      </c>
      <c r="N50">
        <v>35</v>
      </c>
      <c r="O50">
        <v>113.58</v>
      </c>
      <c r="P50">
        <v>49</v>
      </c>
      <c r="Q50">
        <f t="shared" si="7"/>
        <v>0.76385294099262691</v>
      </c>
      <c r="R50">
        <f t="shared" si="8"/>
        <v>-20.707000000000001</v>
      </c>
      <c r="S50">
        <v>30</v>
      </c>
      <c r="T50">
        <v>15.6</v>
      </c>
      <c r="U50">
        <v>34</v>
      </c>
      <c r="V50">
        <v>32862000</v>
      </c>
      <c r="W50">
        <v>1291360000000</v>
      </c>
      <c r="X50" s="1">
        <v>2</v>
      </c>
      <c r="Y50" s="1">
        <v>5.0030000000000001</v>
      </c>
      <c r="Z50" s="1">
        <v>-29.079000000000001</v>
      </c>
      <c r="AA50" s="1">
        <v>3.4460000000000002</v>
      </c>
      <c r="AB50" s="1">
        <v>-3.7530000000000001</v>
      </c>
      <c r="AC50" s="1">
        <v>3.1989999999999998</v>
      </c>
      <c r="AD50" s="1">
        <v>3.488</v>
      </c>
      <c r="AE50" s="1">
        <v>2.36</v>
      </c>
      <c r="AF50" s="1">
        <v>2.4169999999999998</v>
      </c>
      <c r="AG50" s="1">
        <v>-9.7880000000000003</v>
      </c>
      <c r="AH50" s="3">
        <v>623.38900000000001</v>
      </c>
      <c r="AI50">
        <v>659.61599999999999</v>
      </c>
      <c r="AJ50">
        <v>690.53800000000001</v>
      </c>
      <c r="AK50">
        <v>181.22200000000001</v>
      </c>
      <c r="AL50">
        <v>190.834</v>
      </c>
      <c r="AM50">
        <v>212.92699999999999</v>
      </c>
    </row>
    <row r="51" spans="1:46">
      <c r="A51">
        <v>49</v>
      </c>
      <c r="B51" s="1" t="s">
        <v>72</v>
      </c>
      <c r="C51" s="1">
        <f t="shared" si="6"/>
        <v>46.5</v>
      </c>
      <c r="D51">
        <v>49</v>
      </c>
      <c r="E51">
        <f t="shared" si="9"/>
        <v>405.8923333333334</v>
      </c>
      <c r="F51">
        <v>49</v>
      </c>
      <c r="G51">
        <f t="shared" si="10"/>
        <v>163.08333333333334</v>
      </c>
      <c r="H51">
        <v>49</v>
      </c>
      <c r="I51">
        <f t="shared" si="11"/>
        <v>925.88675799999987</v>
      </c>
      <c r="J51">
        <v>48</v>
      </c>
      <c r="K51">
        <v>1011.15882</v>
      </c>
      <c r="L51">
        <v>49</v>
      </c>
      <c r="M51">
        <v>1600.125</v>
      </c>
      <c r="N51">
        <v>47</v>
      </c>
      <c r="O51">
        <v>44.31</v>
      </c>
      <c r="P51">
        <v>18</v>
      </c>
      <c r="Q51">
        <f t="shared" si="7"/>
        <v>1.2698943106083864</v>
      </c>
      <c r="R51">
        <f t="shared" si="8"/>
        <v>24.900000000000002</v>
      </c>
      <c r="S51">
        <v>36</v>
      </c>
      <c r="T51">
        <v>10.863</v>
      </c>
      <c r="U51">
        <v>30</v>
      </c>
      <c r="V51">
        <v>37800000</v>
      </c>
      <c r="W51" s="3">
        <v>777860000000</v>
      </c>
      <c r="X51">
        <v>3.9</v>
      </c>
      <c r="Y51">
        <v>3.0169999999999999</v>
      </c>
      <c r="Z51">
        <v>1.2589999999999999</v>
      </c>
      <c r="AA51">
        <v>8.0210000000000008</v>
      </c>
      <c r="AB51">
        <v>-7.1779999999999999</v>
      </c>
      <c r="AC51">
        <v>2.891</v>
      </c>
      <c r="AD51">
        <v>3.0659999999999998</v>
      </c>
      <c r="AE51">
        <v>5.0579999999999998</v>
      </c>
      <c r="AF51">
        <v>0.52100000000000002</v>
      </c>
      <c r="AG51">
        <v>4.3449999999999998</v>
      </c>
      <c r="AH51" s="3">
        <v>379.2</v>
      </c>
      <c r="AI51" s="3">
        <v>403.35500000000002</v>
      </c>
      <c r="AJ51" s="3">
        <v>435.12200000000001</v>
      </c>
      <c r="AK51" s="3">
        <v>146.05699999999999</v>
      </c>
      <c r="AL51" s="3">
        <v>160.60599999999999</v>
      </c>
      <c r="AM51" s="3">
        <v>182.58699999999999</v>
      </c>
      <c r="AN51" s="3"/>
      <c r="AO51" s="3"/>
      <c r="AP51" s="3"/>
      <c r="AQ51" s="3"/>
    </row>
    <row r="52" spans="1:46">
      <c r="A52">
        <v>50</v>
      </c>
      <c r="B52" s="1" t="s">
        <v>76</v>
      </c>
      <c r="C52" s="1"/>
    </row>
  </sheetData>
  <sortState xmlns:xlrd2="http://schemas.microsoft.com/office/spreadsheetml/2017/richdata2" ref="A3:AV53">
    <sortCondition ref="A3:A53"/>
  </sortState>
  <phoneticPr fontId="1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782D-C4BE-4E46-B317-E1CF631B331D}">
  <dimension ref="A1:AG52"/>
  <sheetViews>
    <sheetView zoomScale="110" zoomScaleNormal="110" workbookViewId="0">
      <pane ySplit="1" topLeftCell="A2" activePane="bottomLeft" state="frozen"/>
      <selection pane="bottomLeft" activeCell="I11" sqref="I11"/>
    </sheetView>
  </sheetViews>
  <sheetFormatPr defaultRowHeight="13.9"/>
  <cols>
    <col min="1" max="1" width="5.33203125" customWidth="1"/>
    <col min="2" max="2" width="10.265625" customWidth="1"/>
    <col min="3" max="6" width="7.06640625" style="1" customWidth="1"/>
    <col min="7" max="7" width="8" style="1" customWidth="1"/>
    <col min="8" max="8" width="11.796875" customWidth="1"/>
    <col min="9" max="9" width="9.1328125" customWidth="1"/>
    <col min="10" max="10" width="7.06640625" style="1" customWidth="1"/>
    <col min="11" max="11" width="7" customWidth="1"/>
    <col min="12" max="13" width="7.06640625" style="1" customWidth="1"/>
    <col min="14" max="14" width="5.06640625" customWidth="1"/>
    <col min="15" max="15" width="7.796875" style="1" customWidth="1"/>
    <col min="16" max="16" width="9.73046875" customWidth="1"/>
    <col min="17" max="18" width="7.06640625" style="1" customWidth="1"/>
    <col min="19" max="19" width="5.6640625" customWidth="1"/>
    <col min="20" max="20" width="5.265625" style="1" customWidth="1"/>
    <col min="21" max="21" width="7.06640625" style="1" customWidth="1"/>
    <col min="23" max="23" width="9" customWidth="1"/>
    <col min="24" max="24" width="12.265625" customWidth="1"/>
    <col min="26" max="26" width="7.9296875" customWidth="1"/>
  </cols>
  <sheetData>
    <row r="1" spans="1:32" s="14" customFormat="1">
      <c r="A1" s="15" t="s">
        <v>195</v>
      </c>
      <c r="B1" s="15" t="s">
        <v>196</v>
      </c>
      <c r="C1" s="16" t="s">
        <v>197</v>
      </c>
      <c r="D1" s="16" t="s">
        <v>218</v>
      </c>
      <c r="E1" s="16" t="s">
        <v>198</v>
      </c>
      <c r="F1" s="16" t="s">
        <v>199</v>
      </c>
      <c r="G1" s="16" t="s">
        <v>200</v>
      </c>
      <c r="H1" s="15" t="s">
        <v>201</v>
      </c>
      <c r="I1" s="15" t="s">
        <v>202</v>
      </c>
      <c r="J1" s="16" t="s">
        <v>204</v>
      </c>
      <c r="K1" s="15" t="s">
        <v>206</v>
      </c>
      <c r="L1" s="16" t="s">
        <v>207</v>
      </c>
      <c r="M1" s="14" t="s">
        <v>219</v>
      </c>
      <c r="N1" s="16" t="s">
        <v>208</v>
      </c>
      <c r="O1" s="16" t="s">
        <v>203</v>
      </c>
      <c r="P1" s="15" t="s">
        <v>209</v>
      </c>
      <c r="Q1" s="16" t="s">
        <v>210</v>
      </c>
      <c r="R1" s="16" t="s">
        <v>211</v>
      </c>
      <c r="S1" s="15" t="s">
        <v>212</v>
      </c>
      <c r="T1" s="16" t="s">
        <v>213</v>
      </c>
      <c r="U1" s="16" t="s">
        <v>205</v>
      </c>
      <c r="V1" s="16" t="s">
        <v>214</v>
      </c>
      <c r="W1" s="15" t="s">
        <v>215</v>
      </c>
      <c r="X1" s="15" t="s">
        <v>216</v>
      </c>
      <c r="Y1" s="15" t="s">
        <v>217</v>
      </c>
      <c r="Z1" s="13"/>
    </row>
    <row r="2" spans="1:32" s="1" customFormat="1">
      <c r="A2" s="1">
        <v>1</v>
      </c>
      <c r="B2" s="1" t="s">
        <v>104</v>
      </c>
      <c r="C2" s="1">
        <v>1</v>
      </c>
      <c r="D2" s="1">
        <v>1</v>
      </c>
      <c r="E2" s="1">
        <v>3</v>
      </c>
      <c r="F2" s="1">
        <v>1</v>
      </c>
      <c r="G2" s="1">
        <v>3700.14</v>
      </c>
      <c r="H2" s="1">
        <v>9683.8159485090891</v>
      </c>
      <c r="I2" s="1">
        <v>1328000</v>
      </c>
      <c r="J2" s="1">
        <v>20.126200000000001</v>
      </c>
      <c r="K2" s="1">
        <v>416.80369999999999</v>
      </c>
      <c r="L2" s="1">
        <v>9620</v>
      </c>
      <c r="M2" s="1">
        <v>53.53</v>
      </c>
      <c r="N2" s="1">
        <v>5</v>
      </c>
      <c r="O2" s="1">
        <v>247</v>
      </c>
      <c r="P2" s="1">
        <v>13043.918</v>
      </c>
      <c r="Q2" s="1">
        <v>4640</v>
      </c>
      <c r="R2" s="1">
        <v>3556</v>
      </c>
      <c r="S2">
        <v>1</v>
      </c>
      <c r="T2" s="1">
        <v>1</v>
      </c>
      <c r="U2" s="1">
        <v>440</v>
      </c>
      <c r="V2">
        <v>72.920300817086513</v>
      </c>
      <c r="W2" s="1">
        <v>25.675999999999998</v>
      </c>
      <c r="X2" s="1">
        <v>340.11098800000002</v>
      </c>
      <c r="Y2" s="1">
        <v>9525067</v>
      </c>
      <c r="Z2" s="1">
        <f t="shared" ref="Z2:Z33" si="0">SUM(D2:F2)+COUNTBLANK(D2:F2)*50</f>
        <v>5</v>
      </c>
      <c r="AA2"/>
      <c r="AD2"/>
      <c r="AE2"/>
      <c r="AF2"/>
    </row>
    <row r="3" spans="1:32">
      <c r="A3" s="1">
        <v>2</v>
      </c>
      <c r="B3" s="1" t="s">
        <v>106</v>
      </c>
      <c r="C3" s="1">
        <v>2</v>
      </c>
      <c r="D3" s="1">
        <v>2</v>
      </c>
      <c r="E3" s="1">
        <v>2</v>
      </c>
      <c r="F3" s="1">
        <v>2</v>
      </c>
      <c r="G3" s="1">
        <v>600.70000000000005</v>
      </c>
      <c r="H3" s="1">
        <v>3175.6104232492403</v>
      </c>
      <c r="I3" s="1">
        <v>2035000</v>
      </c>
      <c r="J3" s="1">
        <v>8.1709999999999994</v>
      </c>
      <c r="K3" s="1">
        <v>285.71429999999998</v>
      </c>
      <c r="L3" s="1">
        <v>4328</v>
      </c>
      <c r="M3" s="1">
        <v>67.11</v>
      </c>
      <c r="N3" s="1">
        <v>4</v>
      </c>
      <c r="O3" s="1">
        <v>157.93299999999999</v>
      </c>
      <c r="P3" s="1">
        <v>3309.2890000000002</v>
      </c>
      <c r="Q3" s="1">
        <v>6800</v>
      </c>
      <c r="R3" s="1">
        <v>8464</v>
      </c>
      <c r="S3" s="1">
        <v>0</v>
      </c>
      <c r="U3" s="1">
        <v>754</v>
      </c>
      <c r="V3" s="1">
        <v>31.475214858445785</v>
      </c>
      <c r="W3" s="1">
        <v>33.597999999999999</v>
      </c>
      <c r="X3" s="1">
        <v>1408.9749999999999</v>
      </c>
      <c r="Y3" s="1">
        <v>9596960</v>
      </c>
      <c r="Z3" s="1">
        <f t="shared" si="0"/>
        <v>6</v>
      </c>
      <c r="AA3" s="1"/>
      <c r="AB3" s="1"/>
      <c r="AC3" s="1"/>
      <c r="AD3" s="1"/>
      <c r="AE3" s="1"/>
      <c r="AF3" s="1"/>
    </row>
    <row r="4" spans="1:32" s="1" customFormat="1">
      <c r="A4">
        <v>2.5</v>
      </c>
      <c r="B4" t="s">
        <v>185</v>
      </c>
      <c r="C4" s="1">
        <v>2.5</v>
      </c>
      <c r="D4" s="1">
        <v>2.5</v>
      </c>
      <c r="E4" s="1">
        <v>2.5</v>
      </c>
      <c r="F4" s="1">
        <v>2.5</v>
      </c>
      <c r="G4" s="1">
        <v>290.39999999999998</v>
      </c>
      <c r="H4">
        <v>3862</v>
      </c>
      <c r="I4">
        <v>1270000</v>
      </c>
      <c r="J4" s="1">
        <v>8.1590000000000007</v>
      </c>
      <c r="K4">
        <v>208.5085</v>
      </c>
      <c r="L4" s="1">
        <v>1864</v>
      </c>
      <c r="M4" s="1">
        <v>36.5</v>
      </c>
      <c r="N4" s="1">
        <v>2</v>
      </c>
      <c r="O4" s="1">
        <v>48</v>
      </c>
      <c r="P4">
        <v>5307.4179999999997</v>
      </c>
      <c r="Q4" s="1">
        <v>4987</v>
      </c>
      <c r="R4" s="1">
        <v>6685</v>
      </c>
      <c r="S4">
        <v>0</v>
      </c>
      <c r="U4" s="1">
        <v>1978</v>
      </c>
      <c r="V4" s="1">
        <v>43.941653543307091</v>
      </c>
      <c r="W4" s="1">
        <v>28.1</v>
      </c>
      <c r="X4">
        <v>450.64697100000001</v>
      </c>
      <c r="Y4" s="1">
        <v>4225104</v>
      </c>
      <c r="Z4" s="1">
        <f t="shared" si="0"/>
        <v>7.5</v>
      </c>
    </row>
    <row r="5" spans="1:32" s="1" customFormat="1">
      <c r="A5" s="11">
        <v>3</v>
      </c>
      <c r="B5" s="11" t="s">
        <v>98</v>
      </c>
      <c r="C5" s="1">
        <v>7</v>
      </c>
      <c r="D5" s="1">
        <v>3</v>
      </c>
      <c r="E5" s="1">
        <v>1</v>
      </c>
      <c r="F5" s="1">
        <v>4</v>
      </c>
      <c r="G5" s="1">
        <v>4309.13</v>
      </c>
      <c r="H5" s="11">
        <v>1505.33996751939</v>
      </c>
      <c r="I5" s="11">
        <v>1320000</v>
      </c>
      <c r="J5" s="1">
        <v>1.31</v>
      </c>
      <c r="K5" s="11">
        <v>126.04470000000001</v>
      </c>
      <c r="L5" s="1">
        <v>1672</v>
      </c>
      <c r="M5" s="1">
        <v>46.26</v>
      </c>
      <c r="N5" s="11">
        <v>4</v>
      </c>
      <c r="O5" s="1">
        <v>110</v>
      </c>
      <c r="P5" s="11">
        <v>4292.4560000000001</v>
      </c>
      <c r="Q5" s="1">
        <v>5750</v>
      </c>
      <c r="R5" s="1">
        <v>17629</v>
      </c>
      <c r="S5" s="11">
        <v>1</v>
      </c>
      <c r="T5" s="11"/>
      <c r="U5" s="1">
        <v>419</v>
      </c>
      <c r="V5" s="1">
        <v>36.35624103372588</v>
      </c>
      <c r="W5" s="11">
        <v>6.0890000000000004</v>
      </c>
      <c r="X5" s="11">
        <v>143.533851</v>
      </c>
      <c r="Y5" s="1">
        <v>17098246</v>
      </c>
      <c r="Z5" s="1">
        <f t="shared" si="0"/>
        <v>8</v>
      </c>
      <c r="AB5"/>
      <c r="AC5"/>
    </row>
    <row r="6" spans="1:32" s="1" customFormat="1">
      <c r="A6" s="1">
        <v>4</v>
      </c>
      <c r="B6" s="1" t="s">
        <v>88</v>
      </c>
      <c r="C6" s="1">
        <v>3</v>
      </c>
      <c r="D6" s="1">
        <v>4</v>
      </c>
      <c r="E6" s="1">
        <v>27</v>
      </c>
      <c r="F6" s="1">
        <v>8</v>
      </c>
      <c r="G6" s="1">
        <v>290.39999999999998</v>
      </c>
      <c r="H6" s="1">
        <v>631.34970336076901</v>
      </c>
      <c r="I6" s="1">
        <v>205000</v>
      </c>
      <c r="J6" s="1">
        <v>4.88</v>
      </c>
      <c r="K6" s="1">
        <v>42.8765</v>
      </c>
      <c r="L6" s="1">
        <v>408.1</v>
      </c>
      <c r="M6" s="1">
        <v>5.5</v>
      </c>
      <c r="N6" s="1">
        <v>3</v>
      </c>
      <c r="O6" s="1">
        <v>16.131</v>
      </c>
      <c r="P6" s="1">
        <v>976.11900000000003</v>
      </c>
      <c r="Q6" s="1">
        <v>215</v>
      </c>
      <c r="R6" s="1">
        <v>105</v>
      </c>
      <c r="S6" s="1">
        <v>1</v>
      </c>
      <c r="T6" s="1">
        <v>1</v>
      </c>
      <c r="U6" s="1">
        <v>129</v>
      </c>
      <c r="V6" s="1">
        <v>42.83938718901608</v>
      </c>
      <c r="W6" s="1">
        <v>3.7320000000000002</v>
      </c>
      <c r="X6" s="1">
        <v>68.551653000000002</v>
      </c>
      <c r="Y6" s="1">
        <v>643801</v>
      </c>
      <c r="Z6" s="1">
        <f t="shared" si="0"/>
        <v>39</v>
      </c>
    </row>
    <row r="7" spans="1:32" s="1" customFormat="1">
      <c r="A7" s="1">
        <v>5</v>
      </c>
      <c r="B7" s="1" t="s">
        <v>105</v>
      </c>
      <c r="C7" s="1">
        <v>6</v>
      </c>
      <c r="D7" s="1">
        <v>5</v>
      </c>
      <c r="E7" s="1">
        <v>4</v>
      </c>
      <c r="F7" s="1">
        <v>3</v>
      </c>
      <c r="G7" s="1">
        <v>180.3</v>
      </c>
      <c r="H7" s="1">
        <v>836.23140581432801</v>
      </c>
      <c r="I7" s="1">
        <v>1455550</v>
      </c>
      <c r="J7" s="1">
        <v>2.72</v>
      </c>
      <c r="K7" s="1">
        <v>59.360300000000002</v>
      </c>
      <c r="L7" s="1">
        <v>696</v>
      </c>
      <c r="M7" s="1">
        <v>17</v>
      </c>
      <c r="N7" s="1">
        <v>2</v>
      </c>
      <c r="O7" s="1">
        <v>8.1069999999999993</v>
      </c>
      <c r="P7" s="1">
        <v>2229.2710000000002</v>
      </c>
      <c r="Q7" s="1">
        <v>4201</v>
      </c>
      <c r="R7" s="1">
        <v>4085</v>
      </c>
      <c r="S7" s="1">
        <v>1</v>
      </c>
      <c r="U7" s="1">
        <v>293</v>
      </c>
      <c r="V7" s="1">
        <v>23.819280742717211</v>
      </c>
      <c r="W7" s="1">
        <v>14.244</v>
      </c>
      <c r="X7" s="1">
        <v>1450.9357910000001</v>
      </c>
      <c r="Y7" s="1">
        <v>3287263</v>
      </c>
      <c r="Z7" s="1">
        <f t="shared" si="0"/>
        <v>12</v>
      </c>
    </row>
    <row r="8" spans="1:32" s="1" customFormat="1">
      <c r="A8" s="1">
        <v>6</v>
      </c>
      <c r="B8" s="1" t="s">
        <v>97</v>
      </c>
      <c r="C8" s="1">
        <v>5</v>
      </c>
      <c r="D8" s="1">
        <v>6</v>
      </c>
      <c r="E8" s="1">
        <v>22</v>
      </c>
      <c r="F8" s="1">
        <v>6</v>
      </c>
      <c r="G8" s="1">
        <v>0.1</v>
      </c>
      <c r="H8" s="1">
        <v>583.992795717582</v>
      </c>
      <c r="I8" s="1">
        <v>247000</v>
      </c>
      <c r="J8" s="1">
        <v>4.92</v>
      </c>
      <c r="K8" s="1">
        <v>76.988200000000006</v>
      </c>
      <c r="L8" s="1">
        <v>1448</v>
      </c>
      <c r="M8" s="1">
        <v>21.1</v>
      </c>
      <c r="N8" s="1">
        <v>3</v>
      </c>
      <c r="O8" s="1">
        <v>2.2090000000000001</v>
      </c>
      <c r="P8" s="1">
        <v>1443.55</v>
      </c>
      <c r="Q8" s="1">
        <v>521</v>
      </c>
      <c r="R8" s="1">
        <v>707</v>
      </c>
      <c r="S8" s="1">
        <v>0</v>
      </c>
      <c r="T8" s="1">
        <v>0</v>
      </c>
      <c r="U8" s="1">
        <v>159</v>
      </c>
      <c r="V8" s="1">
        <v>38.018640304205341</v>
      </c>
      <c r="W8" s="1">
        <v>5.7149999999999999</v>
      </c>
      <c r="X8" s="1">
        <v>123.975371</v>
      </c>
      <c r="Y8" s="1">
        <v>377915</v>
      </c>
      <c r="Z8" s="1">
        <f t="shared" si="0"/>
        <v>34</v>
      </c>
    </row>
    <row r="9" spans="1:32" s="1" customFormat="1">
      <c r="A9" s="1">
        <v>7</v>
      </c>
      <c r="B9" s="1" t="s">
        <v>87</v>
      </c>
      <c r="C9" s="1">
        <v>9</v>
      </c>
      <c r="D9" s="1">
        <v>7</v>
      </c>
      <c r="E9" s="1">
        <v>9</v>
      </c>
      <c r="F9" s="1">
        <v>10</v>
      </c>
      <c r="G9" s="1">
        <v>0.1</v>
      </c>
      <c r="H9" s="1">
        <v>484.73498944721405</v>
      </c>
      <c r="I9" s="1">
        <v>555000</v>
      </c>
      <c r="J9" s="1">
        <v>2.31</v>
      </c>
      <c r="K9" s="1">
        <v>34.4786</v>
      </c>
      <c r="L9" s="1">
        <v>896</v>
      </c>
      <c r="M9" s="1">
        <v>21</v>
      </c>
      <c r="N9" s="1">
        <v>3</v>
      </c>
      <c r="O9" s="1">
        <v>2.42</v>
      </c>
      <c r="P9" s="1">
        <v>1592.41</v>
      </c>
      <c r="Q9" s="1">
        <v>2236</v>
      </c>
      <c r="R9" s="1">
        <v>8633</v>
      </c>
      <c r="S9" s="1">
        <v>0</v>
      </c>
      <c r="T9" s="1">
        <v>0</v>
      </c>
      <c r="U9" s="1">
        <v>227</v>
      </c>
      <c r="V9" s="1">
        <v>15.153427147584079</v>
      </c>
      <c r="W9" s="1">
        <v>2.86</v>
      </c>
      <c r="X9" s="1">
        <v>51.751064999999997</v>
      </c>
      <c r="Y9" s="1">
        <v>100432</v>
      </c>
      <c r="Z9" s="1">
        <f t="shared" si="0"/>
        <v>26</v>
      </c>
    </row>
    <row r="10" spans="1:32" s="1" customFormat="1">
      <c r="A10" s="1">
        <v>8</v>
      </c>
      <c r="B10" s="1" t="s">
        <v>90</v>
      </c>
      <c r="C10" s="1">
        <v>4</v>
      </c>
      <c r="D10" s="1">
        <v>10</v>
      </c>
      <c r="E10" s="1">
        <v>31</v>
      </c>
      <c r="F10" s="1">
        <v>7</v>
      </c>
      <c r="G10" s="1">
        <v>225.4</v>
      </c>
      <c r="H10" s="1">
        <v>773.89956426509389</v>
      </c>
      <c r="I10" s="1">
        <v>150000</v>
      </c>
      <c r="J10" s="1">
        <v>2.81</v>
      </c>
      <c r="K10" s="1">
        <v>39.404299999999999</v>
      </c>
      <c r="L10" s="1">
        <v>544</v>
      </c>
      <c r="M10" s="1">
        <v>6.6</v>
      </c>
      <c r="N10" s="1">
        <v>2</v>
      </c>
      <c r="O10" s="1">
        <v>6.6589999999999998</v>
      </c>
      <c r="P10" s="1">
        <v>631.29</v>
      </c>
      <c r="Q10" s="1">
        <v>227</v>
      </c>
      <c r="R10" s="1">
        <v>238</v>
      </c>
      <c r="S10" s="1">
        <v>0</v>
      </c>
      <c r="T10" s="1">
        <v>1</v>
      </c>
      <c r="U10" s="1">
        <v>109</v>
      </c>
      <c r="V10" s="1">
        <v>61.034878968373732</v>
      </c>
      <c r="W10" s="1">
        <v>3.6360000000000001</v>
      </c>
      <c r="X10" s="1">
        <v>69.225999999999999</v>
      </c>
      <c r="Y10" s="1">
        <v>244376</v>
      </c>
      <c r="Z10" s="1">
        <f t="shared" si="0"/>
        <v>48</v>
      </c>
    </row>
    <row r="11" spans="1:32" s="1" customFormat="1">
      <c r="A11" s="1">
        <v>9</v>
      </c>
      <c r="B11" s="1" t="s">
        <v>63</v>
      </c>
      <c r="C11" s="1">
        <v>28</v>
      </c>
      <c r="D11" s="1">
        <v>8</v>
      </c>
      <c r="E11" s="1">
        <v>12</v>
      </c>
      <c r="F11" s="1">
        <v>20</v>
      </c>
      <c r="G11" s="1">
        <v>90</v>
      </c>
      <c r="H11" s="1">
        <v>452.67123624080102</v>
      </c>
      <c r="I11" s="1">
        <v>173000</v>
      </c>
      <c r="K11" s="1">
        <v>3.8237999999999999</v>
      </c>
      <c r="L11" s="1">
        <v>224</v>
      </c>
      <c r="M11" s="1">
        <v>6</v>
      </c>
      <c r="N11" s="1">
        <v>4</v>
      </c>
      <c r="O11" s="1">
        <v>12.13</v>
      </c>
      <c r="P11" s="1">
        <v>611.13</v>
      </c>
      <c r="Q11" s="1">
        <v>1300</v>
      </c>
      <c r="R11" s="1">
        <v>1100</v>
      </c>
      <c r="S11" s="1">
        <v>1</v>
      </c>
      <c r="T11" s="1">
        <v>0</v>
      </c>
      <c r="U11" s="1">
        <v>62</v>
      </c>
      <c r="V11" s="1">
        <v>26.087469510524777</v>
      </c>
      <c r="W11" s="1">
        <v>0.61</v>
      </c>
      <c r="X11" s="1">
        <v>9.9743999999999993</v>
      </c>
      <c r="Y11" s="1">
        <v>21937</v>
      </c>
      <c r="Z11" s="1">
        <f t="shared" si="0"/>
        <v>40</v>
      </c>
    </row>
    <row r="12" spans="1:32" s="1" customFormat="1">
      <c r="A12" s="1">
        <v>10</v>
      </c>
      <c r="B12" s="1" t="s">
        <v>83</v>
      </c>
      <c r="C12" s="1">
        <v>8</v>
      </c>
      <c r="D12" s="1">
        <v>9</v>
      </c>
      <c r="E12" s="1">
        <v>34</v>
      </c>
      <c r="F12" s="1">
        <v>13</v>
      </c>
      <c r="H12" s="1">
        <v>374.440449566616</v>
      </c>
      <c r="I12" s="1">
        <v>170000</v>
      </c>
      <c r="J12" s="1">
        <v>2.42</v>
      </c>
      <c r="K12" s="1">
        <v>35.941699999999997</v>
      </c>
      <c r="L12" s="1">
        <v>320</v>
      </c>
      <c r="M12" s="1">
        <v>6</v>
      </c>
      <c r="N12" s="1">
        <v>3</v>
      </c>
      <c r="O12" s="1">
        <v>10.75</v>
      </c>
      <c r="P12" s="1">
        <v>729.31</v>
      </c>
      <c r="Q12" s="1">
        <v>200</v>
      </c>
      <c r="R12" s="1">
        <v>193</v>
      </c>
      <c r="S12" s="1">
        <v>0</v>
      </c>
      <c r="T12" s="1">
        <v>1</v>
      </c>
      <c r="U12" s="1">
        <v>196</v>
      </c>
      <c r="V12" s="11">
        <v>33.479381373015073</v>
      </c>
      <c r="W12" s="1">
        <v>3.0329999999999999</v>
      </c>
      <c r="X12" s="1">
        <v>58.952703999999997</v>
      </c>
      <c r="Y12" s="1">
        <v>302068</v>
      </c>
      <c r="Z12" s="1">
        <f t="shared" si="0"/>
        <v>56</v>
      </c>
      <c r="AA12" s="11"/>
    </row>
    <row r="13" spans="1:32" s="1" customFormat="1">
      <c r="A13" s="1">
        <v>11</v>
      </c>
      <c r="B13" s="1" t="s">
        <v>91</v>
      </c>
      <c r="C13" s="1">
        <v>12</v>
      </c>
      <c r="D13" s="1">
        <v>11</v>
      </c>
      <c r="E13" s="1">
        <v>8</v>
      </c>
      <c r="F13" s="1">
        <v>14</v>
      </c>
      <c r="H13" s="1">
        <v>218.84408730506502</v>
      </c>
      <c r="I13" s="1">
        <v>425000</v>
      </c>
      <c r="J13" s="1">
        <v>1.31</v>
      </c>
      <c r="K13" s="1">
        <v>32.572899999999997</v>
      </c>
      <c r="L13" s="1">
        <v>186.1</v>
      </c>
      <c r="M13" s="1">
        <v>14</v>
      </c>
      <c r="N13" s="1">
        <v>2</v>
      </c>
      <c r="O13" s="1">
        <v>2.33</v>
      </c>
      <c r="P13" s="1">
        <v>1083.8399999999999</v>
      </c>
      <c r="Q13" s="1">
        <v>2238</v>
      </c>
      <c r="R13" s="1">
        <v>3071</v>
      </c>
      <c r="S13" s="1">
        <v>1</v>
      </c>
      <c r="T13" s="1">
        <v>1</v>
      </c>
      <c r="U13" s="1">
        <v>182</v>
      </c>
      <c r="V13" s="1">
        <v>13.470497232707061</v>
      </c>
      <c r="W13" s="1">
        <v>3.9</v>
      </c>
      <c r="X13" s="1">
        <v>85.518660999999994</v>
      </c>
      <c r="Y13" s="1">
        <v>783562</v>
      </c>
      <c r="Z13" s="1">
        <f t="shared" si="0"/>
        <v>33</v>
      </c>
    </row>
    <row r="14" spans="1:32" s="1" customFormat="1">
      <c r="A14" s="1">
        <v>12</v>
      </c>
      <c r="B14" s="1" t="s">
        <v>93</v>
      </c>
      <c r="C14" s="1">
        <v>14</v>
      </c>
      <c r="D14" s="1">
        <v>12</v>
      </c>
      <c r="E14" s="1">
        <v>29</v>
      </c>
      <c r="F14" s="1">
        <v>5</v>
      </c>
      <c r="H14" s="1">
        <v>863.01287019696406</v>
      </c>
      <c r="I14" s="1">
        <v>184000</v>
      </c>
      <c r="K14" s="1">
        <v>22.8552</v>
      </c>
      <c r="L14" s="1">
        <v>178.1</v>
      </c>
      <c r="M14" s="1">
        <v>6.1</v>
      </c>
      <c r="N14" s="1">
        <v>2</v>
      </c>
      <c r="O14" s="1">
        <v>8.82</v>
      </c>
      <c r="P14" s="1">
        <v>584.51</v>
      </c>
      <c r="Q14" s="1">
        <v>296</v>
      </c>
      <c r="R14" s="1">
        <v>167</v>
      </c>
      <c r="S14" s="1">
        <v>0</v>
      </c>
      <c r="T14" s="1">
        <v>1</v>
      </c>
      <c r="U14" s="1">
        <v>61</v>
      </c>
      <c r="V14" s="1">
        <v>60.035677926745322</v>
      </c>
      <c r="W14" s="1">
        <v>5.2469999999999999</v>
      </c>
      <c r="X14" s="1">
        <v>83.516593</v>
      </c>
      <c r="Y14" s="1">
        <v>357581</v>
      </c>
      <c r="Z14" s="1">
        <f t="shared" si="0"/>
        <v>46</v>
      </c>
    </row>
    <row r="15" spans="1:32" s="11" customFormat="1">
      <c r="A15" s="1">
        <v>13</v>
      </c>
      <c r="B15" s="1" t="s">
        <v>100</v>
      </c>
      <c r="C15" s="1">
        <v>20</v>
      </c>
      <c r="D15" s="1">
        <v>13</v>
      </c>
      <c r="E15" s="1">
        <v>7</v>
      </c>
      <c r="F15" s="1">
        <v>26</v>
      </c>
      <c r="G15" s="1">
        <v>170</v>
      </c>
      <c r="H15" s="1">
        <v>81.833505987953302</v>
      </c>
      <c r="I15" s="1">
        <v>654000</v>
      </c>
      <c r="J15" s="1"/>
      <c r="K15" s="1">
        <v>11.1715</v>
      </c>
      <c r="L15" s="1">
        <v>164.1</v>
      </c>
      <c r="M15" s="1">
        <v>5</v>
      </c>
      <c r="N15" s="1">
        <v>1</v>
      </c>
      <c r="O15" s="1">
        <v>0.8</v>
      </c>
      <c r="P15" s="1">
        <v>1399.64</v>
      </c>
      <c r="Q15" s="1">
        <v>2627</v>
      </c>
      <c r="R15" s="1">
        <v>4592</v>
      </c>
      <c r="S15" s="1">
        <v>1</v>
      </c>
      <c r="T15" s="1"/>
      <c r="U15" s="1">
        <v>121</v>
      </c>
      <c r="V15" s="1">
        <v>5.3479572567662448</v>
      </c>
      <c r="W15" s="1">
        <v>1.68</v>
      </c>
      <c r="X15" s="1">
        <v>251.26916399999999</v>
      </c>
      <c r="Y15" s="1">
        <v>882363</v>
      </c>
      <c r="Z15" s="1">
        <f t="shared" si="0"/>
        <v>46</v>
      </c>
      <c r="AA15" s="1"/>
      <c r="AB15" s="1"/>
      <c r="AC15" s="1"/>
    </row>
    <row r="16" spans="1:32" s="1" customFormat="1">
      <c r="A16" s="1">
        <v>14</v>
      </c>
      <c r="B16" s="1" t="s">
        <v>79</v>
      </c>
      <c r="D16" s="1">
        <v>20</v>
      </c>
      <c r="E16" s="1">
        <v>5</v>
      </c>
      <c r="F16" s="1">
        <v>11</v>
      </c>
      <c r="H16" s="1">
        <v>667.84434887348402</v>
      </c>
      <c r="I16" s="1">
        <v>900000</v>
      </c>
      <c r="K16" s="1">
        <v>2.8138000000000001</v>
      </c>
      <c r="L16" s="1">
        <v>0</v>
      </c>
      <c r="N16" s="1">
        <v>2</v>
      </c>
      <c r="O16" s="1">
        <v>0.1</v>
      </c>
      <c r="P16" s="1">
        <v>324</v>
      </c>
      <c r="Q16" s="1">
        <v>1114</v>
      </c>
      <c r="R16" s="1">
        <v>2708</v>
      </c>
      <c r="S16" s="1">
        <v>1</v>
      </c>
      <c r="T16" s="1">
        <v>0</v>
      </c>
      <c r="U16" s="1">
        <v>89</v>
      </c>
      <c r="V16" s="1">
        <v>25.652643489507049</v>
      </c>
      <c r="W16" s="1">
        <v>0.6</v>
      </c>
      <c r="X16" s="1">
        <v>37.860221000000003</v>
      </c>
      <c r="Y16" s="1">
        <v>603550</v>
      </c>
      <c r="Z16" s="1">
        <f t="shared" si="0"/>
        <v>36</v>
      </c>
    </row>
    <row r="17" spans="1:29" s="1" customFormat="1">
      <c r="A17">
        <v>15</v>
      </c>
      <c r="B17" s="1" t="s">
        <v>76</v>
      </c>
      <c r="C17" s="1">
        <v>33</v>
      </c>
      <c r="D17" s="1">
        <v>29</v>
      </c>
      <c r="E17" s="1">
        <v>6</v>
      </c>
      <c r="F17" s="1">
        <v>50</v>
      </c>
      <c r="G17" s="1">
        <v>50</v>
      </c>
      <c r="H17" s="1">
        <v>0</v>
      </c>
      <c r="I17" s="1">
        <v>1200000</v>
      </c>
      <c r="K17" s="1">
        <v>14.330399999999999</v>
      </c>
      <c r="L17" s="1">
        <v>0</v>
      </c>
      <c r="M17" s="1">
        <v>21</v>
      </c>
      <c r="O17" s="1">
        <v>1</v>
      </c>
      <c r="P17" s="1">
        <v>861</v>
      </c>
      <c r="Q17" s="1">
        <v>4344</v>
      </c>
      <c r="R17" s="1">
        <v>11920</v>
      </c>
      <c r="S17" s="1">
        <v>0</v>
      </c>
      <c r="U17" s="1">
        <v>207</v>
      </c>
      <c r="V17">
        <v>0</v>
      </c>
      <c r="W17" s="1">
        <v>4.5400000000000003E-2</v>
      </c>
      <c r="X17" s="1">
        <v>26.498823000000002</v>
      </c>
      <c r="Y17" s="1">
        <v>120538</v>
      </c>
      <c r="Z17" s="1">
        <f t="shared" si="0"/>
        <v>85</v>
      </c>
      <c r="AA17"/>
    </row>
    <row r="18" spans="1:29" s="1" customFormat="1">
      <c r="A18" s="1">
        <v>16</v>
      </c>
      <c r="B18" s="1" t="s">
        <v>89</v>
      </c>
      <c r="C18" s="1">
        <v>13</v>
      </c>
      <c r="D18" s="1">
        <v>15</v>
      </c>
      <c r="E18" s="1">
        <v>11</v>
      </c>
      <c r="F18" s="1">
        <v>34</v>
      </c>
      <c r="H18" s="1">
        <v>26.612590652174298</v>
      </c>
      <c r="I18" s="1">
        <v>438500</v>
      </c>
      <c r="J18" s="1">
        <v>2.3199999999999998</v>
      </c>
      <c r="K18" s="1">
        <v>23.5989</v>
      </c>
      <c r="L18" s="1">
        <v>242.1</v>
      </c>
      <c r="M18" s="1">
        <v>8</v>
      </c>
      <c r="O18" s="1">
        <v>1</v>
      </c>
      <c r="P18" s="1">
        <v>1093.6099999999999</v>
      </c>
      <c r="Q18" s="1">
        <v>3620</v>
      </c>
      <c r="R18" s="1">
        <v>4165</v>
      </c>
      <c r="S18" s="1">
        <v>0</v>
      </c>
      <c r="U18" s="1">
        <v>150</v>
      </c>
      <c r="V18" s="1">
        <v>3.5321614046899525</v>
      </c>
      <c r="W18" s="1">
        <v>1.79</v>
      </c>
      <c r="X18" s="1">
        <v>116.538258</v>
      </c>
      <c r="Y18" s="1">
        <v>1001450</v>
      </c>
      <c r="Z18" s="1">
        <f t="shared" si="0"/>
        <v>60</v>
      </c>
    </row>
    <row r="19" spans="1:29" s="1" customFormat="1">
      <c r="A19" s="1">
        <v>17</v>
      </c>
      <c r="B19" s="1" t="s">
        <v>86</v>
      </c>
      <c r="C19" s="1">
        <v>21</v>
      </c>
      <c r="D19" s="1">
        <v>23</v>
      </c>
      <c r="E19" s="1">
        <v>10</v>
      </c>
      <c r="F19" s="1">
        <v>27</v>
      </c>
      <c r="G19" s="1">
        <v>0.1</v>
      </c>
      <c r="H19" s="1">
        <v>66.459683982087299</v>
      </c>
      <c r="I19" s="1">
        <v>610000</v>
      </c>
      <c r="K19" s="1">
        <v>22.339500000000001</v>
      </c>
      <c r="L19" s="1">
        <v>112.1</v>
      </c>
      <c r="M19" s="1">
        <v>3</v>
      </c>
      <c r="N19" s="1">
        <v>1</v>
      </c>
      <c r="O19" s="1">
        <v>2.9</v>
      </c>
      <c r="P19" s="1">
        <v>551.87</v>
      </c>
      <c r="Q19" s="1">
        <v>1713</v>
      </c>
      <c r="R19" s="1">
        <v>3405</v>
      </c>
      <c r="S19" s="1">
        <v>1</v>
      </c>
      <c r="U19" s="1">
        <v>107</v>
      </c>
      <c r="V19" s="1">
        <v>4.7654861924204894</v>
      </c>
      <c r="W19" s="1">
        <v>1.64</v>
      </c>
      <c r="X19" s="1">
        <v>91.567738000000006</v>
      </c>
      <c r="Y19" s="1">
        <v>1648195</v>
      </c>
      <c r="Z19" s="1">
        <f t="shared" si="0"/>
        <v>60</v>
      </c>
    </row>
    <row r="20" spans="1:29" s="1" customFormat="1">
      <c r="A20" s="1">
        <v>18</v>
      </c>
      <c r="B20" s="1" t="s">
        <v>160</v>
      </c>
      <c r="C20" s="1">
        <v>29</v>
      </c>
      <c r="D20" s="1">
        <v>14</v>
      </c>
      <c r="E20" s="1">
        <v>15</v>
      </c>
      <c r="F20" s="1">
        <v>9</v>
      </c>
      <c r="H20" s="1">
        <v>789.53627231067105</v>
      </c>
      <c r="I20" s="1">
        <v>227000</v>
      </c>
      <c r="K20" s="1">
        <v>4.9726999999999997</v>
      </c>
      <c r="L20" s="1">
        <v>164.1</v>
      </c>
      <c r="M20" s="1">
        <v>0</v>
      </c>
      <c r="N20" s="1">
        <v>1</v>
      </c>
      <c r="O20" s="1">
        <v>0.15</v>
      </c>
      <c r="P20" s="1">
        <v>917.49</v>
      </c>
      <c r="Q20" s="1">
        <v>840</v>
      </c>
      <c r="R20" s="1">
        <v>3743</v>
      </c>
      <c r="S20" s="1">
        <v>0</v>
      </c>
      <c r="U20" s="1">
        <v>32</v>
      </c>
      <c r="V20" s="1">
        <v>70.432200503484964</v>
      </c>
      <c r="W20" s="1">
        <v>2.37</v>
      </c>
      <c r="X20" s="1">
        <v>35.300280000000001</v>
      </c>
      <c r="Y20" s="1">
        <v>2149690</v>
      </c>
      <c r="Z20" s="1">
        <f t="shared" si="0"/>
        <v>38</v>
      </c>
    </row>
    <row r="21" spans="1:29" s="1" customFormat="1">
      <c r="A21" s="1">
        <v>19</v>
      </c>
      <c r="B21" s="1" t="s">
        <v>74</v>
      </c>
      <c r="C21" s="1">
        <v>11</v>
      </c>
      <c r="D21" s="1">
        <v>17</v>
      </c>
      <c r="E21" s="1">
        <v>42</v>
      </c>
      <c r="F21" s="1">
        <v>16</v>
      </c>
      <c r="H21" s="1">
        <v>330.05837975733198</v>
      </c>
      <c r="I21" s="1">
        <v>60000</v>
      </c>
      <c r="J21" s="1">
        <v>2.36</v>
      </c>
      <c r="K21" s="1">
        <v>18.564800000000002</v>
      </c>
      <c r="L21" s="1">
        <v>200</v>
      </c>
      <c r="M21" s="1">
        <v>6</v>
      </c>
      <c r="N21" s="1">
        <v>1</v>
      </c>
      <c r="O21" s="1">
        <v>4.3099999999999996</v>
      </c>
      <c r="P21" s="1">
        <v>327.38</v>
      </c>
      <c r="Q21" s="1">
        <v>59</v>
      </c>
      <c r="R21" s="1">
        <v>48</v>
      </c>
      <c r="S21" s="1">
        <v>0</v>
      </c>
      <c r="T21" s="1">
        <v>0</v>
      </c>
      <c r="U21" s="1">
        <v>44</v>
      </c>
      <c r="V21" s="1">
        <v>58.310313757128654</v>
      </c>
      <c r="W21" s="1">
        <v>1.88</v>
      </c>
      <c r="X21" s="1">
        <v>27.196812000000001</v>
      </c>
      <c r="Y21" s="1">
        <v>7741220</v>
      </c>
      <c r="Z21" s="1">
        <f t="shared" si="0"/>
        <v>75</v>
      </c>
    </row>
    <row r="22" spans="1:29" s="1" customFormat="1">
      <c r="A22" s="1">
        <v>20</v>
      </c>
      <c r="B22" s="1" t="s">
        <v>125</v>
      </c>
      <c r="C22" s="1">
        <v>15</v>
      </c>
      <c r="D22" s="1">
        <v>16</v>
      </c>
      <c r="E22" s="1">
        <v>16</v>
      </c>
      <c r="F22" s="1">
        <v>25</v>
      </c>
      <c r="H22" s="1">
        <v>166.34732847177798</v>
      </c>
      <c r="I22" s="1">
        <v>180000</v>
      </c>
      <c r="K22" s="1">
        <v>25.041399999999999</v>
      </c>
      <c r="L22" s="1">
        <v>76.099999999999994</v>
      </c>
      <c r="M22" s="1">
        <v>4</v>
      </c>
      <c r="N22" s="1">
        <v>1</v>
      </c>
      <c r="O22" s="1">
        <v>0.15</v>
      </c>
      <c r="P22" s="1">
        <v>761</v>
      </c>
      <c r="Q22" s="1">
        <v>888</v>
      </c>
      <c r="R22" s="1">
        <v>1643</v>
      </c>
      <c r="S22" s="1">
        <v>0</v>
      </c>
      <c r="T22" s="1">
        <v>0</v>
      </c>
      <c r="U22" s="1">
        <v>97</v>
      </c>
      <c r="V22" s="1">
        <v>21.689843329070161</v>
      </c>
      <c r="W22" s="1">
        <v>1.67</v>
      </c>
      <c r="X22" s="1">
        <v>23.400220000000001</v>
      </c>
      <c r="Y22" s="1">
        <v>35980</v>
      </c>
      <c r="Z22" s="1">
        <f t="shared" si="0"/>
        <v>57</v>
      </c>
    </row>
    <row r="23" spans="1:29" s="1" customFormat="1" ht="13.5" customHeight="1">
      <c r="A23" s="1">
        <v>21</v>
      </c>
      <c r="B23" s="1" t="s">
        <v>82</v>
      </c>
      <c r="C23" s="1">
        <v>10</v>
      </c>
      <c r="D23" s="1">
        <v>22</v>
      </c>
      <c r="E23" s="1">
        <v>30</v>
      </c>
      <c r="F23" s="1">
        <v>21</v>
      </c>
      <c r="H23" s="1">
        <v>239.26441391807901</v>
      </c>
      <c r="I23" s="1">
        <v>120000</v>
      </c>
      <c r="J23" s="1">
        <v>2.29</v>
      </c>
      <c r="K23" s="1">
        <v>21.534600000000001</v>
      </c>
      <c r="L23" s="1">
        <v>256.10000000000002</v>
      </c>
      <c r="M23" s="1">
        <v>1</v>
      </c>
      <c r="N23" s="1">
        <v>1</v>
      </c>
      <c r="O23" s="1">
        <v>4.5199999999999996</v>
      </c>
      <c r="P23" s="1">
        <v>461.51</v>
      </c>
      <c r="Q23" s="1">
        <v>317</v>
      </c>
      <c r="R23" s="1">
        <v>236</v>
      </c>
      <c r="S23" s="1">
        <v>0</v>
      </c>
      <c r="T23" s="1">
        <v>1</v>
      </c>
      <c r="U23" s="1">
        <v>152</v>
      </c>
      <c r="V23" s="1">
        <v>31.004680303551073</v>
      </c>
      <c r="W23" s="1">
        <v>2.3199999999999998</v>
      </c>
      <c r="X23" s="1">
        <v>48.848840000000003</v>
      </c>
      <c r="Y23" s="1">
        <v>505370</v>
      </c>
      <c r="Z23" s="1">
        <f t="shared" si="0"/>
        <v>73</v>
      </c>
    </row>
    <row r="24" spans="1:29" s="1" customFormat="1">
      <c r="A24" s="1">
        <v>22</v>
      </c>
      <c r="B24" s="1" t="s">
        <v>77</v>
      </c>
      <c r="D24" s="1">
        <v>19</v>
      </c>
      <c r="E24" s="1">
        <v>20</v>
      </c>
      <c r="F24" s="1">
        <v>17</v>
      </c>
      <c r="H24" s="1">
        <v>344.88345882252099</v>
      </c>
      <c r="I24" s="1">
        <v>150000</v>
      </c>
      <c r="K24" s="1">
        <v>1.9779</v>
      </c>
      <c r="L24" s="1">
        <v>0</v>
      </c>
      <c r="M24" s="1">
        <v>1</v>
      </c>
      <c r="N24" s="1">
        <v>1</v>
      </c>
      <c r="O24" s="1">
        <v>0.6</v>
      </c>
      <c r="P24" s="1">
        <v>479.49</v>
      </c>
      <c r="Q24" s="1">
        <v>614</v>
      </c>
      <c r="R24" s="1">
        <v>736</v>
      </c>
      <c r="S24" s="1">
        <v>0</v>
      </c>
      <c r="T24" s="1">
        <v>1</v>
      </c>
      <c r="U24" s="1">
        <v>62</v>
      </c>
      <c r="V24" s="1">
        <v>47.892816315154086</v>
      </c>
      <c r="W24" s="1">
        <v>1.92</v>
      </c>
      <c r="X24" s="1">
        <v>36.559232999999999</v>
      </c>
      <c r="Y24" s="1">
        <v>312685</v>
      </c>
      <c r="Z24" s="1">
        <f t="shared" si="0"/>
        <v>56</v>
      </c>
    </row>
    <row r="25" spans="1:29" s="1" customFormat="1">
      <c r="A25" s="1">
        <v>23</v>
      </c>
      <c r="B25" s="1" t="s">
        <v>73</v>
      </c>
      <c r="C25" s="1">
        <v>22</v>
      </c>
      <c r="D25" s="1">
        <v>24</v>
      </c>
      <c r="E25" s="1">
        <v>18</v>
      </c>
      <c r="F25" s="1">
        <v>22</v>
      </c>
      <c r="H25" s="1">
        <v>204.23216124981798</v>
      </c>
      <c r="I25" s="1">
        <v>130000</v>
      </c>
      <c r="K25" s="1">
        <v>8.2880000000000003</v>
      </c>
      <c r="L25" s="1">
        <v>64</v>
      </c>
      <c r="M25" s="1">
        <v>6</v>
      </c>
      <c r="N25"/>
      <c r="O25" s="1">
        <v>0.6</v>
      </c>
      <c r="P25" s="1">
        <v>608.63</v>
      </c>
      <c r="Q25" s="1">
        <v>1485</v>
      </c>
      <c r="R25" s="1">
        <v>943</v>
      </c>
      <c r="S25" s="1">
        <v>0</v>
      </c>
      <c r="U25" s="1">
        <v>110</v>
      </c>
      <c r="V25" s="1">
        <v>48.214500221207032</v>
      </c>
      <c r="W25" s="1">
        <v>0.68400000000000005</v>
      </c>
      <c r="X25" s="1">
        <v>46.814307999999997</v>
      </c>
      <c r="Y25" s="1">
        <v>2381741</v>
      </c>
      <c r="Z25" s="1">
        <f t="shared" si="0"/>
        <v>64</v>
      </c>
    </row>
    <row r="26" spans="1:29" s="1" customFormat="1">
      <c r="A26" s="1">
        <v>24</v>
      </c>
      <c r="B26" s="1" t="s">
        <v>101</v>
      </c>
      <c r="C26" s="1">
        <v>25</v>
      </c>
      <c r="D26" s="1">
        <v>27</v>
      </c>
      <c r="E26" s="1">
        <v>23</v>
      </c>
      <c r="F26" s="1">
        <v>12</v>
      </c>
      <c r="H26" s="1">
        <v>216.92955020163001</v>
      </c>
      <c r="I26" s="1">
        <v>360000</v>
      </c>
      <c r="J26" s="1">
        <v>1.18</v>
      </c>
      <c r="K26" s="1">
        <v>13.573700000000001</v>
      </c>
      <c r="L26" s="1">
        <v>12</v>
      </c>
      <c r="M26" s="1">
        <v>7</v>
      </c>
      <c r="O26" s="1">
        <v>1.19</v>
      </c>
      <c r="P26" s="1">
        <v>513.10900000000004</v>
      </c>
      <c r="Q26" s="1">
        <v>294</v>
      </c>
      <c r="R26" s="1">
        <v>710</v>
      </c>
      <c r="S26" s="1">
        <v>0</v>
      </c>
      <c r="U26" s="1">
        <v>64</v>
      </c>
      <c r="V26" s="1">
        <v>13.07603122048714</v>
      </c>
      <c r="W26" s="1">
        <v>4.165</v>
      </c>
      <c r="X26" s="1">
        <v>211.99857299999999</v>
      </c>
      <c r="Y26" s="1">
        <v>8510346</v>
      </c>
      <c r="Z26" s="1">
        <f t="shared" si="0"/>
        <v>62</v>
      </c>
    </row>
    <row r="27" spans="1:29" s="1" customFormat="1">
      <c r="A27" s="1">
        <v>25</v>
      </c>
      <c r="B27" s="1" t="s">
        <v>103</v>
      </c>
      <c r="C27" s="1">
        <v>16</v>
      </c>
      <c r="D27" s="1">
        <v>30</v>
      </c>
      <c r="E27" s="1">
        <v>24</v>
      </c>
      <c r="F27" s="1">
        <v>18</v>
      </c>
      <c r="H27" s="1">
        <v>112.141686708449</v>
      </c>
      <c r="I27" s="1">
        <v>400000</v>
      </c>
      <c r="K27" s="1">
        <v>30.416799999999999</v>
      </c>
      <c r="L27" s="1">
        <v>76</v>
      </c>
      <c r="M27" s="1">
        <v>4</v>
      </c>
      <c r="N27"/>
      <c r="O27" s="1">
        <v>0.21</v>
      </c>
      <c r="P27" s="1">
        <v>459.71</v>
      </c>
      <c r="Q27" s="1">
        <v>331</v>
      </c>
      <c r="R27" s="1">
        <v>630</v>
      </c>
      <c r="S27" s="1">
        <v>0</v>
      </c>
      <c r="U27" s="1">
        <v>331</v>
      </c>
      <c r="V27" s="1">
        <v>9.3750450088263353</v>
      </c>
      <c r="W27" s="1">
        <v>4.1020000000000003</v>
      </c>
      <c r="X27" s="1">
        <v>283.487931</v>
      </c>
      <c r="Y27" s="1">
        <v>1904569</v>
      </c>
      <c r="Z27" s="1">
        <f t="shared" si="0"/>
        <v>72</v>
      </c>
    </row>
    <row r="28" spans="1:29" s="1" customFormat="1">
      <c r="A28" s="1">
        <v>26</v>
      </c>
      <c r="B28" s="1" t="s">
        <v>62</v>
      </c>
      <c r="C28" s="1">
        <v>19</v>
      </c>
      <c r="D28" s="1">
        <v>21</v>
      </c>
      <c r="E28" s="1">
        <v>17</v>
      </c>
      <c r="F28" s="1">
        <v>46</v>
      </c>
      <c r="H28" s="1">
        <v>77.856310377756401</v>
      </c>
      <c r="I28" s="1">
        <v>142000</v>
      </c>
      <c r="K28" s="1">
        <v>21.634799999999998</v>
      </c>
      <c r="L28" s="1">
        <v>98.1</v>
      </c>
      <c r="M28" s="1">
        <v>8</v>
      </c>
      <c r="N28" s="1">
        <v>0</v>
      </c>
      <c r="O28" s="1">
        <v>0.3</v>
      </c>
      <c r="P28" s="1">
        <v>558</v>
      </c>
      <c r="Q28" s="1">
        <v>1344</v>
      </c>
      <c r="R28" s="1">
        <v>1470</v>
      </c>
      <c r="S28" s="1">
        <v>0</v>
      </c>
      <c r="T28" s="1">
        <v>1</v>
      </c>
      <c r="U28" s="1">
        <v>192</v>
      </c>
      <c r="V28">
        <v>9.5127252468596737</v>
      </c>
      <c r="W28" s="1">
        <v>0.45600000000000002</v>
      </c>
      <c r="X28" s="1">
        <v>10.405134</v>
      </c>
      <c r="Y28" s="1">
        <v>131957</v>
      </c>
      <c r="Z28" s="1">
        <f t="shared" si="0"/>
        <v>84</v>
      </c>
      <c r="AA28"/>
    </row>
    <row r="29" spans="1:29" s="1" customFormat="1">
      <c r="A29" s="1">
        <v>27</v>
      </c>
      <c r="B29" s="1" t="s">
        <v>61</v>
      </c>
      <c r="C29" s="1">
        <v>17</v>
      </c>
      <c r="D29" s="1">
        <v>25</v>
      </c>
      <c r="E29" s="1">
        <v>39</v>
      </c>
      <c r="F29" s="1">
        <v>33</v>
      </c>
      <c r="H29" s="1">
        <v>146.016460967271</v>
      </c>
      <c r="I29" s="1">
        <v>72000</v>
      </c>
      <c r="K29" s="1">
        <v>8.1340000000000003</v>
      </c>
      <c r="L29" s="1">
        <v>384</v>
      </c>
      <c r="M29" s="1">
        <v>4.0999999999999996</v>
      </c>
      <c r="N29" s="1">
        <v>1</v>
      </c>
      <c r="O29" s="1">
        <v>0.15</v>
      </c>
      <c r="P29" s="1">
        <v>230</v>
      </c>
      <c r="Q29" s="1">
        <v>170</v>
      </c>
      <c r="R29" s="1">
        <v>161</v>
      </c>
      <c r="S29" s="1">
        <v>0</v>
      </c>
      <c r="T29" s="1">
        <v>0</v>
      </c>
      <c r="U29" s="1">
        <v>50</v>
      </c>
      <c r="V29" s="1">
        <v>32.732023333496592</v>
      </c>
      <c r="W29" s="1">
        <v>0.89600000000000002</v>
      </c>
      <c r="X29" s="1">
        <v>6.0368599999999999</v>
      </c>
      <c r="Y29" s="1">
        <v>740</v>
      </c>
      <c r="Z29" s="1">
        <f t="shared" si="0"/>
        <v>97</v>
      </c>
    </row>
    <row r="30" spans="1:29" s="1" customFormat="1">
      <c r="A30" s="1">
        <v>28</v>
      </c>
      <c r="B30" s="1" t="s">
        <v>92</v>
      </c>
      <c r="C30" s="1">
        <v>27</v>
      </c>
      <c r="D30" s="1">
        <v>28</v>
      </c>
      <c r="E30" s="1">
        <v>21</v>
      </c>
      <c r="F30" s="1">
        <v>30</v>
      </c>
      <c r="H30" s="1">
        <v>55.703504203592502</v>
      </c>
      <c r="I30" s="1">
        <v>360000</v>
      </c>
      <c r="J30" s="1">
        <v>1.1399999999999999</v>
      </c>
      <c r="K30" s="1">
        <v>13.098800000000001</v>
      </c>
      <c r="L30" s="1">
        <v>24</v>
      </c>
      <c r="M30" s="1">
        <v>1</v>
      </c>
      <c r="O30" s="1">
        <v>2</v>
      </c>
      <c r="P30" s="1">
        <v>493.54</v>
      </c>
      <c r="Q30" s="1">
        <v>635</v>
      </c>
      <c r="R30" s="1">
        <v>665</v>
      </c>
      <c r="S30" s="1">
        <v>0</v>
      </c>
      <c r="U30" s="1">
        <v>293</v>
      </c>
      <c r="V30" s="1">
        <v>5.2191088799643754</v>
      </c>
      <c r="W30" s="1">
        <v>1.7</v>
      </c>
      <c r="X30" s="1">
        <v>71.668011000000007</v>
      </c>
      <c r="Y30" s="1">
        <v>513120</v>
      </c>
      <c r="Z30" s="1">
        <f t="shared" si="0"/>
        <v>79</v>
      </c>
    </row>
    <row r="31" spans="1:29" s="1" customFormat="1" ht="14.55" customHeight="1">
      <c r="A31" s="1">
        <v>29</v>
      </c>
      <c r="B31" s="1" t="s">
        <v>81</v>
      </c>
      <c r="C31" s="1">
        <v>23</v>
      </c>
      <c r="D31" s="1">
        <v>26</v>
      </c>
      <c r="E31" s="1">
        <v>47</v>
      </c>
      <c r="F31" s="1">
        <v>15</v>
      </c>
      <c r="H31" s="1">
        <v>290.65922006541098</v>
      </c>
      <c r="I31" s="1">
        <v>68000</v>
      </c>
      <c r="J31" s="1">
        <v>0.3</v>
      </c>
      <c r="K31" s="1">
        <v>11.963699999999999</v>
      </c>
      <c r="L31" s="1">
        <v>192</v>
      </c>
      <c r="M31" s="1">
        <v>4</v>
      </c>
      <c r="N31" s="1">
        <v>0</v>
      </c>
      <c r="O31" s="1">
        <v>1.52</v>
      </c>
      <c r="P31" s="1">
        <v>351</v>
      </c>
      <c r="Q31" s="1">
        <v>74</v>
      </c>
      <c r="R31" s="1">
        <v>1</v>
      </c>
      <c r="S31" s="1">
        <v>0</v>
      </c>
      <c r="T31" s="1">
        <v>1</v>
      </c>
      <c r="U31" s="1">
        <v>73</v>
      </c>
      <c r="V31" s="1">
        <v>50.181459464234187</v>
      </c>
      <c r="W31" s="1">
        <v>2.3759999999999999</v>
      </c>
      <c r="X31" s="1">
        <v>41.288598999999998</v>
      </c>
      <c r="Y31" s="1">
        <v>9984670</v>
      </c>
      <c r="Z31" s="1">
        <f t="shared" si="0"/>
        <v>88</v>
      </c>
      <c r="AB31"/>
      <c r="AC31"/>
    </row>
    <row r="32" spans="1:29" s="1" customFormat="1" ht="13.5" customHeight="1">
      <c r="A32" s="1">
        <v>30</v>
      </c>
      <c r="B32" s="1" t="s">
        <v>126</v>
      </c>
      <c r="C32" s="1">
        <v>31</v>
      </c>
      <c r="D32" s="1">
        <v>18</v>
      </c>
      <c r="E32" s="1">
        <v>33</v>
      </c>
      <c r="F32" s="1">
        <v>24</v>
      </c>
      <c r="H32" s="1">
        <v>223</v>
      </c>
      <c r="I32" s="1">
        <v>65000</v>
      </c>
      <c r="K32" s="1">
        <v>4.4188000000000001</v>
      </c>
      <c r="L32" s="1">
        <v>92.1</v>
      </c>
      <c r="M32" s="1">
        <v>0</v>
      </c>
      <c r="N32" s="1">
        <v>1</v>
      </c>
      <c r="O32" s="1">
        <v>3.14</v>
      </c>
      <c r="P32" s="1">
        <v>551.37</v>
      </c>
      <c r="Q32" s="1">
        <v>354</v>
      </c>
      <c r="R32" s="1">
        <v>444</v>
      </c>
      <c r="S32" s="1">
        <v>0</v>
      </c>
      <c r="U32" s="1">
        <v>181</v>
      </c>
      <c r="V32" s="1">
        <v>54.137538461538462</v>
      </c>
      <c r="W32" s="1">
        <v>1.1100000000000001</v>
      </c>
      <c r="X32" s="1">
        <v>10.9864</v>
      </c>
      <c r="Y32" s="1">
        <v>83600</v>
      </c>
      <c r="Z32" s="1">
        <f t="shared" si="0"/>
        <v>75</v>
      </c>
    </row>
    <row r="33" spans="1:33" s="1" customFormat="1">
      <c r="A33" s="1">
        <v>31</v>
      </c>
      <c r="B33" s="1" t="s">
        <v>70</v>
      </c>
      <c r="C33" s="1">
        <v>18</v>
      </c>
      <c r="D33" s="1">
        <v>32</v>
      </c>
      <c r="E33" s="1">
        <v>46</v>
      </c>
      <c r="F33" s="1">
        <v>23</v>
      </c>
      <c r="H33" s="1">
        <v>224.39234721363101</v>
      </c>
      <c r="I33" s="1">
        <v>41000</v>
      </c>
      <c r="J33" s="1">
        <v>0.1</v>
      </c>
      <c r="K33" s="1">
        <v>12.4962</v>
      </c>
      <c r="L33" s="1">
        <v>192</v>
      </c>
      <c r="M33" s="1">
        <v>3</v>
      </c>
      <c r="N33" s="1">
        <v>1</v>
      </c>
      <c r="O33" s="1">
        <v>0.8</v>
      </c>
      <c r="P33" s="1">
        <v>120</v>
      </c>
      <c r="Q33" s="1">
        <v>18</v>
      </c>
      <c r="R33" s="1">
        <v>72</v>
      </c>
      <c r="S33" s="1">
        <v>0</v>
      </c>
      <c r="T33" s="1">
        <v>1</v>
      </c>
      <c r="U33" s="1">
        <v>64</v>
      </c>
      <c r="V33" s="1">
        <v>65.785268622142567</v>
      </c>
      <c r="W33" s="1">
        <v>1.25</v>
      </c>
      <c r="X33" s="1">
        <v>17.993485</v>
      </c>
      <c r="Y33" s="1">
        <v>41865</v>
      </c>
      <c r="Z33" s="1">
        <f t="shared" si="0"/>
        <v>101</v>
      </c>
      <c r="AB33"/>
      <c r="AC33"/>
    </row>
    <row r="34" spans="1:33" s="1" customFormat="1">
      <c r="A34" s="1">
        <v>32</v>
      </c>
      <c r="B34" s="1" t="s">
        <v>95</v>
      </c>
      <c r="C34" s="1">
        <v>32</v>
      </c>
      <c r="D34" s="1">
        <v>40</v>
      </c>
      <c r="E34" s="1">
        <v>13</v>
      </c>
      <c r="F34" s="1">
        <v>29</v>
      </c>
      <c r="H34" s="1">
        <v>80</v>
      </c>
      <c r="I34" s="1">
        <v>600000</v>
      </c>
      <c r="K34" s="1">
        <v>10.7813</v>
      </c>
      <c r="L34" s="1">
        <v>40.1</v>
      </c>
      <c r="M34" s="1">
        <v>6</v>
      </c>
      <c r="N34"/>
      <c r="P34" s="1">
        <v>246</v>
      </c>
      <c r="Q34" s="1">
        <v>1374</v>
      </c>
      <c r="R34" s="1">
        <v>1330</v>
      </c>
      <c r="S34" s="1">
        <v>0</v>
      </c>
      <c r="U34" s="1">
        <v>110</v>
      </c>
      <c r="V34" s="1">
        <v>4.8026666666666662</v>
      </c>
      <c r="W34" s="1">
        <v>1.32</v>
      </c>
      <c r="X34" s="1">
        <v>100.987686</v>
      </c>
      <c r="Y34" s="1">
        <v>331340</v>
      </c>
      <c r="Z34" s="1">
        <f t="shared" ref="Z34:Z52" si="1">SUM(D34:F34)+COUNTBLANK(D34:F34)*50</f>
        <v>82</v>
      </c>
      <c r="AB34" s="11"/>
      <c r="AC34" s="11"/>
    </row>
    <row r="35" spans="1:33" s="1" customFormat="1">
      <c r="A35" s="1">
        <v>33</v>
      </c>
      <c r="B35" s="1" t="s">
        <v>59</v>
      </c>
      <c r="C35" s="1">
        <v>30</v>
      </c>
      <c r="D35" s="1">
        <v>31</v>
      </c>
      <c r="E35" s="1">
        <v>45</v>
      </c>
      <c r="F35" s="1">
        <v>37</v>
      </c>
      <c r="H35" s="1">
        <v>102.85498860115099</v>
      </c>
      <c r="I35" s="1">
        <v>24000</v>
      </c>
      <c r="K35" s="1">
        <v>6.5692000000000004</v>
      </c>
      <c r="L35" s="1">
        <v>48.1</v>
      </c>
      <c r="M35" s="1">
        <v>6</v>
      </c>
      <c r="N35" s="1">
        <v>1</v>
      </c>
      <c r="O35" s="1">
        <v>3.21</v>
      </c>
      <c r="P35" s="1">
        <v>97</v>
      </c>
      <c r="Q35" s="1">
        <v>44</v>
      </c>
      <c r="R35" s="1">
        <v>56</v>
      </c>
      <c r="S35" s="1">
        <v>0</v>
      </c>
      <c r="T35" s="1">
        <v>1</v>
      </c>
      <c r="U35" s="1">
        <v>43</v>
      </c>
      <c r="V35" s="1">
        <v>51.598919281577416</v>
      </c>
      <c r="W35" s="1">
        <v>0.63400000000000001</v>
      </c>
      <c r="X35" s="1">
        <v>5.572279</v>
      </c>
      <c r="Y35" s="1">
        <v>386224</v>
      </c>
      <c r="Z35" s="1">
        <f t="shared" si="1"/>
        <v>113</v>
      </c>
    </row>
    <row r="36" spans="1:33" s="1" customFormat="1">
      <c r="A36" s="1">
        <v>34</v>
      </c>
      <c r="B36" s="1" t="s">
        <v>67</v>
      </c>
      <c r="C36" s="1">
        <v>34</v>
      </c>
      <c r="D36" s="1">
        <v>33</v>
      </c>
      <c r="E36" s="1">
        <v>43</v>
      </c>
      <c r="F36" s="1">
        <v>32</v>
      </c>
      <c r="H36" s="1">
        <v>117.18548095512101</v>
      </c>
      <c r="I36" s="1">
        <v>24000</v>
      </c>
      <c r="K36" s="1">
        <v>3.1673</v>
      </c>
      <c r="L36" s="1">
        <v>12</v>
      </c>
      <c r="M36" s="1">
        <v>4.0999999999999996</v>
      </c>
      <c r="N36" s="1">
        <v>1</v>
      </c>
      <c r="O36" s="1">
        <v>1</v>
      </c>
      <c r="P36" s="1">
        <v>169</v>
      </c>
      <c r="Q36" s="1">
        <v>110</v>
      </c>
      <c r="R36" s="1">
        <v>26</v>
      </c>
      <c r="S36" s="1">
        <v>0</v>
      </c>
      <c r="T36" s="1">
        <v>1</v>
      </c>
      <c r="U36" s="1">
        <v>308</v>
      </c>
      <c r="V36" s="1">
        <v>61.131759231588134</v>
      </c>
      <c r="W36" s="1">
        <v>0.752</v>
      </c>
      <c r="X36" s="1">
        <v>10.569709</v>
      </c>
      <c r="Y36" s="1">
        <v>450295</v>
      </c>
      <c r="Z36" s="1">
        <f t="shared" si="1"/>
        <v>108</v>
      </c>
    </row>
    <row r="37" spans="1:33" s="1" customFormat="1">
      <c r="A37" s="1">
        <v>35</v>
      </c>
      <c r="B37" s="1" t="s">
        <v>68</v>
      </c>
      <c r="D37" s="1">
        <v>35</v>
      </c>
      <c r="E37" s="1">
        <v>28</v>
      </c>
      <c r="F37" s="1">
        <v>38</v>
      </c>
      <c r="H37" s="1">
        <v>80.657545238292997</v>
      </c>
      <c r="I37" s="1">
        <v>70000</v>
      </c>
      <c r="N37" s="1">
        <v>0</v>
      </c>
      <c r="P37" s="1">
        <v>140</v>
      </c>
      <c r="Q37" s="1">
        <v>328</v>
      </c>
      <c r="R37" s="1">
        <v>992</v>
      </c>
      <c r="S37" s="1">
        <v>0</v>
      </c>
      <c r="T37" s="1">
        <v>1</v>
      </c>
      <c r="V37" s="1">
        <v>26.686124967412365</v>
      </c>
      <c r="W37" s="1">
        <v>0.83799999999999997</v>
      </c>
      <c r="X37" s="1">
        <v>19.051804000000001</v>
      </c>
      <c r="Y37" s="1">
        <v>238398</v>
      </c>
      <c r="Z37" s="1">
        <f t="shared" si="1"/>
        <v>101</v>
      </c>
    </row>
    <row r="38" spans="1:33" s="1" customFormat="1">
      <c r="A38" s="1">
        <v>36</v>
      </c>
      <c r="B38" s="1" t="s">
        <v>69</v>
      </c>
      <c r="C38" s="1">
        <v>26</v>
      </c>
      <c r="D38" s="1">
        <v>38</v>
      </c>
      <c r="E38" s="1">
        <v>32</v>
      </c>
      <c r="F38" s="1">
        <v>45</v>
      </c>
      <c r="H38" s="1">
        <v>55.214335926243201</v>
      </c>
      <c r="I38" s="1">
        <v>77000</v>
      </c>
      <c r="K38" s="1">
        <v>17.6065</v>
      </c>
      <c r="L38" s="1">
        <v>144</v>
      </c>
      <c r="M38" s="1">
        <v>4</v>
      </c>
      <c r="N38"/>
      <c r="O38" s="1">
        <v>1</v>
      </c>
      <c r="P38" s="1">
        <v>277</v>
      </c>
      <c r="Q38" s="1">
        <v>386</v>
      </c>
      <c r="R38" s="1">
        <v>293</v>
      </c>
      <c r="S38" s="1">
        <v>0</v>
      </c>
      <c r="U38" s="1">
        <v>130</v>
      </c>
      <c r="V38" s="1">
        <v>14.742944761604678</v>
      </c>
      <c r="W38" s="1">
        <v>0.63100000000000001</v>
      </c>
      <c r="X38" s="1">
        <v>19.764771</v>
      </c>
      <c r="Y38" s="1">
        <v>756102</v>
      </c>
      <c r="Z38" s="1">
        <f t="shared" si="1"/>
        <v>115</v>
      </c>
    </row>
    <row r="39" spans="1:33" s="1" customFormat="1">
      <c r="A39" s="1">
        <v>37</v>
      </c>
      <c r="B39" s="1" t="s">
        <v>60</v>
      </c>
      <c r="C39" s="1">
        <v>24</v>
      </c>
      <c r="D39" s="1">
        <v>36</v>
      </c>
      <c r="E39" s="1">
        <v>48</v>
      </c>
      <c r="F39" s="1">
        <v>41</v>
      </c>
      <c r="H39" s="1">
        <v>97.816488310131092</v>
      </c>
      <c r="I39" s="1">
        <v>16000</v>
      </c>
      <c r="K39" s="1">
        <v>12.118</v>
      </c>
      <c r="L39" s="1">
        <v>240</v>
      </c>
      <c r="M39" s="1">
        <v>0.1</v>
      </c>
      <c r="N39" s="1">
        <v>0</v>
      </c>
      <c r="O39" s="1">
        <v>1</v>
      </c>
      <c r="P39" s="1">
        <v>117</v>
      </c>
      <c r="Q39" s="1">
        <v>44</v>
      </c>
      <c r="R39" s="1">
        <v>19</v>
      </c>
      <c r="S39" s="1">
        <v>0</v>
      </c>
      <c r="T39" s="1">
        <v>1</v>
      </c>
      <c r="U39" s="1">
        <v>50</v>
      </c>
      <c r="V39" s="1">
        <v>70.244465667712888</v>
      </c>
      <c r="W39" s="1">
        <v>0.54300000000000004</v>
      </c>
      <c r="X39" s="1">
        <v>5.9769920000000001</v>
      </c>
      <c r="Y39" s="1">
        <v>42947</v>
      </c>
      <c r="Z39" s="1">
        <f t="shared" si="1"/>
        <v>125</v>
      </c>
      <c r="AB39"/>
      <c r="AC39"/>
    </row>
    <row r="40" spans="1:33" s="1" customFormat="1">
      <c r="A40" s="1">
        <v>38</v>
      </c>
      <c r="B40" s="1" t="s">
        <v>71</v>
      </c>
      <c r="E40" s="1">
        <v>14</v>
      </c>
      <c r="F40" s="1">
        <v>39</v>
      </c>
      <c r="H40" s="1">
        <v>57.5912291846683</v>
      </c>
      <c r="I40" s="1">
        <v>200000</v>
      </c>
      <c r="P40" s="1">
        <v>391</v>
      </c>
      <c r="Q40" s="1">
        <v>1025</v>
      </c>
      <c r="R40" s="1">
        <v>2152</v>
      </c>
      <c r="S40" s="1">
        <v>1</v>
      </c>
      <c r="V40" s="1">
        <v>6.861994957353228</v>
      </c>
      <c r="W40" s="1">
        <v>0.7</v>
      </c>
      <c r="X40" s="1">
        <v>46.042014999999999</v>
      </c>
      <c r="Y40" s="1">
        <v>438317</v>
      </c>
      <c r="Z40" s="1">
        <f t="shared" si="1"/>
        <v>103</v>
      </c>
    </row>
    <row r="41" spans="1:33" s="1" customFormat="1">
      <c r="A41" s="1">
        <v>39</v>
      </c>
      <c r="B41" s="1" t="s">
        <v>72</v>
      </c>
      <c r="D41" s="1">
        <v>39</v>
      </c>
      <c r="E41" s="1">
        <v>19</v>
      </c>
      <c r="F41" s="1">
        <v>47</v>
      </c>
      <c r="H41" s="1">
        <v>53.181661482444497</v>
      </c>
      <c r="I41" s="1">
        <v>180000</v>
      </c>
      <c r="P41" s="1">
        <v>260</v>
      </c>
      <c r="Q41" s="1">
        <v>903</v>
      </c>
      <c r="R41" s="1">
        <v>1170</v>
      </c>
      <c r="S41" s="1">
        <v>0</v>
      </c>
      <c r="V41">
        <v>7.418841776801008</v>
      </c>
      <c r="W41" s="1">
        <v>0.39</v>
      </c>
      <c r="X41" s="1">
        <v>38.081173</v>
      </c>
      <c r="Y41" s="1">
        <v>446550</v>
      </c>
      <c r="Z41" s="1">
        <f t="shared" si="1"/>
        <v>105</v>
      </c>
      <c r="AA41"/>
    </row>
    <row r="42" spans="1:33" s="1" customFormat="1">
      <c r="A42" s="1">
        <v>40</v>
      </c>
      <c r="B42" s="1" t="s">
        <v>85</v>
      </c>
      <c r="C42" s="1">
        <v>37</v>
      </c>
      <c r="E42" s="1">
        <v>36</v>
      </c>
      <c r="F42" s="1">
        <v>43</v>
      </c>
      <c r="H42" s="1">
        <v>26.9412413119504</v>
      </c>
      <c r="I42" s="1">
        <v>74000</v>
      </c>
      <c r="K42" s="1">
        <v>4.0186000000000002</v>
      </c>
      <c r="L42" s="1">
        <v>64</v>
      </c>
      <c r="M42" s="1">
        <v>3</v>
      </c>
      <c r="P42" s="1">
        <v>182</v>
      </c>
      <c r="Q42" s="1">
        <v>252</v>
      </c>
      <c r="R42" s="1">
        <v>254</v>
      </c>
      <c r="S42" s="1">
        <v>0</v>
      </c>
      <c r="U42" s="1">
        <v>49</v>
      </c>
      <c r="V42" s="1">
        <v>8.992549464934795</v>
      </c>
      <c r="W42" s="1">
        <v>1.21</v>
      </c>
      <c r="X42" s="1">
        <v>64.007187000000002</v>
      </c>
      <c r="Y42" s="1">
        <v>1219090</v>
      </c>
      <c r="Z42" s="1">
        <f t="shared" si="1"/>
        <v>129</v>
      </c>
      <c r="AD42"/>
      <c r="AE42"/>
    </row>
    <row r="43" spans="1:33" s="1" customFormat="1">
      <c r="A43" s="12">
        <v>41</v>
      </c>
      <c r="B43" s="11" t="s">
        <v>78</v>
      </c>
      <c r="C43" s="11">
        <v>35</v>
      </c>
      <c r="D43" s="11"/>
      <c r="E43" s="11">
        <v>38</v>
      </c>
      <c r="F43" s="11">
        <v>42</v>
      </c>
      <c r="G43" s="11"/>
      <c r="H43" s="11">
        <v>43.13</v>
      </c>
      <c r="I43" s="11">
        <v>265000</v>
      </c>
      <c r="J43" s="11"/>
      <c r="K43" s="11">
        <v>6.7735000000000003</v>
      </c>
      <c r="L43" s="11">
        <v>42.1</v>
      </c>
      <c r="M43" s="11">
        <v>2</v>
      </c>
      <c r="N43" s="11"/>
      <c r="O43" s="11">
        <v>0.9</v>
      </c>
      <c r="P43" s="12">
        <v>135.16</v>
      </c>
      <c r="Q43" s="11">
        <v>48</v>
      </c>
      <c r="R43" s="11">
        <v>232</v>
      </c>
      <c r="S43" s="12">
        <v>0</v>
      </c>
      <c r="T43" s="11"/>
      <c r="U43" s="11">
        <v>100</v>
      </c>
      <c r="V43" s="11">
        <v>5.3237067924528301</v>
      </c>
      <c r="W43" s="11">
        <v>1.21</v>
      </c>
      <c r="X43" s="11">
        <v>35.557673000000001</v>
      </c>
      <c r="Y43" s="11">
        <v>330621</v>
      </c>
      <c r="Z43" s="11">
        <f t="shared" si="1"/>
        <v>130</v>
      </c>
      <c r="AA43" s="11"/>
      <c r="AB43" s="11"/>
      <c r="AC43" s="11"/>
      <c r="AD43" s="12"/>
      <c r="AE43" s="12"/>
    </row>
    <row r="44" spans="1:33" s="1" customFormat="1">
      <c r="A44" s="1">
        <v>42</v>
      </c>
      <c r="B44" s="1" t="s">
        <v>99</v>
      </c>
      <c r="C44" s="1">
        <v>39</v>
      </c>
      <c r="E44" s="1">
        <v>25</v>
      </c>
      <c r="F44" s="1">
        <v>36</v>
      </c>
      <c r="H44" s="1">
        <v>39.347596825482199</v>
      </c>
      <c r="I44" s="1">
        <v>225000</v>
      </c>
      <c r="K44" s="1">
        <v>7.5279999999999996</v>
      </c>
      <c r="L44" s="1">
        <v>0</v>
      </c>
      <c r="M44" s="1">
        <v>2</v>
      </c>
      <c r="P44" s="1">
        <v>214</v>
      </c>
      <c r="Q44" s="1">
        <v>320</v>
      </c>
      <c r="R44" s="1">
        <v>535</v>
      </c>
      <c r="S44" s="1">
        <v>0</v>
      </c>
      <c r="U44" s="1">
        <v>118</v>
      </c>
      <c r="V44" s="1">
        <v>6.5089669059753223</v>
      </c>
      <c r="W44" s="1">
        <v>1.26</v>
      </c>
      <c r="X44" s="1">
        <v>173.562364</v>
      </c>
      <c r="Y44" s="1">
        <v>148460</v>
      </c>
      <c r="Z44" s="1">
        <f t="shared" si="1"/>
        <v>111</v>
      </c>
    </row>
    <row r="45" spans="1:33" s="1" customFormat="1">
      <c r="A45" s="1">
        <v>43</v>
      </c>
      <c r="B45" s="1" t="s">
        <v>80</v>
      </c>
      <c r="C45" s="1">
        <v>40</v>
      </c>
      <c r="E45" s="1">
        <v>35</v>
      </c>
      <c r="F45" s="1">
        <v>35</v>
      </c>
      <c r="H45" s="1">
        <v>39.127589510944297</v>
      </c>
      <c r="I45" s="1">
        <v>75000</v>
      </c>
      <c r="J45" s="1">
        <v>0.2</v>
      </c>
      <c r="K45" s="1">
        <v>12.2128</v>
      </c>
      <c r="L45" s="1">
        <v>0</v>
      </c>
      <c r="M45" s="1">
        <v>0</v>
      </c>
      <c r="O45" s="1">
        <v>0.35</v>
      </c>
      <c r="P45" s="1">
        <v>239.52</v>
      </c>
      <c r="Q45" s="1">
        <v>342</v>
      </c>
      <c r="R45" s="1">
        <v>248</v>
      </c>
      <c r="S45" s="1">
        <v>0</v>
      </c>
      <c r="U45" s="1">
        <v>44</v>
      </c>
      <c r="V45" s="1">
        <v>11.399171077521773</v>
      </c>
      <c r="W45" s="1">
        <v>1.51</v>
      </c>
      <c r="X45" s="1">
        <v>45.696159000000002</v>
      </c>
      <c r="Y45" s="1">
        <v>2780400</v>
      </c>
      <c r="Z45" s="1">
        <f t="shared" si="1"/>
        <v>120</v>
      </c>
    </row>
    <row r="46" spans="1:33" s="1" customFormat="1">
      <c r="A46" s="1">
        <v>44</v>
      </c>
      <c r="B46" s="1" t="s">
        <v>84</v>
      </c>
      <c r="C46" s="1">
        <v>38</v>
      </c>
      <c r="E46" s="1">
        <v>44</v>
      </c>
      <c r="F46" s="1">
        <v>28</v>
      </c>
      <c r="H46" s="1">
        <v>122.46466445046501</v>
      </c>
      <c r="I46" s="1">
        <v>293000</v>
      </c>
      <c r="K46" s="1">
        <v>3.109</v>
      </c>
      <c r="L46" s="1">
        <v>0</v>
      </c>
      <c r="M46" s="1">
        <v>2</v>
      </c>
      <c r="O46" s="1">
        <v>2</v>
      </c>
      <c r="P46" s="1">
        <v>436.86</v>
      </c>
      <c r="Q46" s="1">
        <v>1</v>
      </c>
      <c r="R46" s="1">
        <v>116</v>
      </c>
      <c r="S46" s="1">
        <v>1</v>
      </c>
      <c r="U46" s="1">
        <v>233</v>
      </c>
      <c r="V46" s="1">
        <v>11.260061639233882</v>
      </c>
      <c r="W46" s="1">
        <v>1.1100000000000001</v>
      </c>
      <c r="X46" s="1">
        <v>52.886363000000003</v>
      </c>
      <c r="Y46" s="1">
        <v>1138910</v>
      </c>
      <c r="Z46" s="1">
        <f t="shared" si="1"/>
        <v>122</v>
      </c>
    </row>
    <row r="47" spans="1:33" s="11" customFormat="1">
      <c r="A47" s="1">
        <v>45</v>
      </c>
      <c r="B47" s="1" t="s">
        <v>94</v>
      </c>
      <c r="C47" s="1">
        <v>36</v>
      </c>
      <c r="D47" s="1"/>
      <c r="E47" s="1">
        <v>41</v>
      </c>
      <c r="F47" s="1">
        <v>31</v>
      </c>
      <c r="G47" s="1"/>
      <c r="H47" s="1">
        <v>60.974267964683904</v>
      </c>
      <c r="I47" s="1">
        <v>163000</v>
      </c>
      <c r="J47" s="1"/>
      <c r="K47" s="1">
        <v>7.6313000000000004</v>
      </c>
      <c r="L47" s="1">
        <v>36.1</v>
      </c>
      <c r="M47" s="1">
        <v>0</v>
      </c>
      <c r="N47" s="1"/>
      <c r="O47" s="1"/>
      <c r="P47" s="1">
        <v>202</v>
      </c>
      <c r="Q47" s="1">
        <v>18</v>
      </c>
      <c r="R47" s="1">
        <v>301</v>
      </c>
      <c r="S47" s="1">
        <v>0</v>
      </c>
      <c r="T47" s="1"/>
      <c r="U47" s="1">
        <v>113</v>
      </c>
      <c r="V47" s="1">
        <v>11.087590812719208</v>
      </c>
      <c r="W47" s="1">
        <v>1.27</v>
      </c>
      <c r="X47" s="1">
        <v>115.84367</v>
      </c>
      <c r="Y47" s="1">
        <v>300000</v>
      </c>
      <c r="Z47" s="1">
        <f t="shared" si="1"/>
        <v>122</v>
      </c>
      <c r="AA47" s="1"/>
      <c r="AB47" s="1"/>
      <c r="AC47" s="1"/>
      <c r="AD47"/>
      <c r="AE47"/>
      <c r="AF47"/>
      <c r="AG47"/>
    </row>
    <row r="48" spans="1:33">
      <c r="A48" s="1">
        <v>46</v>
      </c>
      <c r="B48" s="1" t="s">
        <v>96</v>
      </c>
      <c r="E48" s="1">
        <v>49</v>
      </c>
      <c r="F48" s="1">
        <v>19</v>
      </c>
      <c r="H48" s="1">
        <v>164.519067830815</v>
      </c>
      <c r="I48" s="1">
        <v>215000</v>
      </c>
      <c r="K48" s="1">
        <v>8.4</v>
      </c>
      <c r="L48" s="1">
        <v>8</v>
      </c>
      <c r="N48" s="1"/>
      <c r="O48" s="1">
        <v>3</v>
      </c>
      <c r="P48" s="1">
        <v>433.41</v>
      </c>
      <c r="Q48" s="1">
        <v>1</v>
      </c>
      <c r="R48" s="1">
        <v>90</v>
      </c>
      <c r="S48" s="1">
        <v>0</v>
      </c>
      <c r="T48" s="1">
        <v>0</v>
      </c>
      <c r="U48" s="1">
        <v>167</v>
      </c>
      <c r="V48" s="1">
        <v>13.842557846788109</v>
      </c>
      <c r="W48" s="1">
        <v>3.01</v>
      </c>
      <c r="X48" s="1">
        <v>130.861007</v>
      </c>
      <c r="Y48" s="1">
        <v>1964375</v>
      </c>
      <c r="Z48" s="1">
        <f t="shared" si="1"/>
        <v>118</v>
      </c>
      <c r="AA48" s="1"/>
      <c r="AD48" s="1"/>
      <c r="AE48" s="1"/>
      <c r="AF48" s="11"/>
      <c r="AG48" s="11"/>
    </row>
    <row r="49" spans="1:31">
      <c r="A49" s="1">
        <v>47</v>
      </c>
      <c r="B49" s="1" t="s">
        <v>102</v>
      </c>
      <c r="E49" s="1">
        <v>26</v>
      </c>
      <c r="F49" s="1">
        <v>44</v>
      </c>
      <c r="H49" s="1">
        <v>11.33</v>
      </c>
      <c r="I49">
        <v>280000</v>
      </c>
      <c r="K49">
        <v>3.8052000000000001</v>
      </c>
      <c r="L49" s="1">
        <v>0</v>
      </c>
      <c r="N49" s="1"/>
      <c r="O49" s="1">
        <v>0.5</v>
      </c>
      <c r="P49">
        <v>163.21</v>
      </c>
      <c r="Q49" s="1">
        <v>330</v>
      </c>
      <c r="R49" s="1">
        <v>408</v>
      </c>
      <c r="S49">
        <v>0</v>
      </c>
      <c r="U49" s="1">
        <v>152</v>
      </c>
      <c r="V49" s="1">
        <v>3.3985953571428569</v>
      </c>
      <c r="W49" s="1">
        <v>1.32</v>
      </c>
      <c r="X49" s="1">
        <v>232.67947799999999</v>
      </c>
      <c r="Y49" s="1">
        <v>923768</v>
      </c>
      <c r="Z49" s="1">
        <f t="shared" si="1"/>
        <v>120</v>
      </c>
      <c r="AA49" s="1"/>
      <c r="AB49" s="1"/>
      <c r="AC49" s="1"/>
    </row>
    <row r="50" spans="1:31">
      <c r="A50" s="1">
        <v>48</v>
      </c>
      <c r="B50" s="1" t="s">
        <v>65</v>
      </c>
      <c r="D50" s="1">
        <v>34</v>
      </c>
      <c r="E50" s="1">
        <v>37</v>
      </c>
      <c r="F50" s="1">
        <v>48</v>
      </c>
      <c r="H50" s="1">
        <v>67.22</v>
      </c>
      <c r="I50" s="1">
        <v>152000</v>
      </c>
      <c r="N50" s="1">
        <v>0</v>
      </c>
      <c r="P50">
        <v>146.16</v>
      </c>
      <c r="Q50" s="1">
        <v>134</v>
      </c>
      <c r="R50" s="1">
        <v>133</v>
      </c>
      <c r="S50">
        <v>0</v>
      </c>
      <c r="V50">
        <v>4.0331999999999999</v>
      </c>
      <c r="W50" s="1">
        <v>0.74099999999999999</v>
      </c>
      <c r="X50" s="1">
        <v>9.0055820000000004</v>
      </c>
      <c r="Y50" s="1">
        <v>41291</v>
      </c>
      <c r="Z50" s="1">
        <f t="shared" si="1"/>
        <v>119</v>
      </c>
      <c r="AB50" s="1"/>
      <c r="AC50" s="1"/>
      <c r="AD50" s="1"/>
      <c r="AE50" s="1"/>
    </row>
    <row r="51" spans="1:31">
      <c r="A51">
        <v>49</v>
      </c>
      <c r="B51" s="1" t="s">
        <v>66</v>
      </c>
      <c r="D51" s="1">
        <v>37</v>
      </c>
      <c r="E51" s="1">
        <v>50</v>
      </c>
      <c r="F51" s="1">
        <v>40</v>
      </c>
      <c r="H51" s="1">
        <v>85.62</v>
      </c>
      <c r="I51" s="1">
        <v>33000</v>
      </c>
      <c r="K51" s="1">
        <v>1.0189999999999999</v>
      </c>
      <c r="L51" s="1">
        <v>32</v>
      </c>
      <c r="N51" s="1">
        <v>0</v>
      </c>
      <c r="P51">
        <v>108.7</v>
      </c>
      <c r="Q51" s="1">
        <v>1</v>
      </c>
      <c r="R51" s="1">
        <v>10</v>
      </c>
      <c r="S51">
        <v>0</v>
      </c>
      <c r="T51" s="1">
        <v>1</v>
      </c>
      <c r="U51" s="1">
        <v>9</v>
      </c>
      <c r="V51" s="1">
        <v>33.729090909090907</v>
      </c>
      <c r="W51" s="1">
        <v>0.749</v>
      </c>
      <c r="X51" s="1">
        <v>11.858610000000001</v>
      </c>
      <c r="Y51" s="1">
        <v>30528</v>
      </c>
      <c r="Z51" s="1">
        <f t="shared" si="1"/>
        <v>127</v>
      </c>
      <c r="AA51" s="1"/>
      <c r="AD51" s="1"/>
      <c r="AE51" s="1"/>
    </row>
    <row r="52" spans="1:31">
      <c r="A52">
        <v>50</v>
      </c>
      <c r="B52" s="1" t="s">
        <v>64</v>
      </c>
      <c r="E52" s="1">
        <v>40</v>
      </c>
      <c r="F52" s="1">
        <v>49</v>
      </c>
      <c r="H52" s="1">
        <v>52.59</v>
      </c>
      <c r="I52">
        <v>150000</v>
      </c>
      <c r="N52" s="1"/>
      <c r="P52">
        <v>85.11</v>
      </c>
      <c r="Q52" s="1">
        <v>56</v>
      </c>
      <c r="R52" s="1">
        <v>53</v>
      </c>
      <c r="S52">
        <v>0</v>
      </c>
      <c r="V52">
        <v>4.4105479999999995</v>
      </c>
      <c r="W52" s="1">
        <v>0.58099999999999996</v>
      </c>
      <c r="X52" s="1">
        <v>9.1779820000000001</v>
      </c>
      <c r="Y52" s="1">
        <v>83878</v>
      </c>
      <c r="Z52" s="1">
        <f t="shared" si="1"/>
        <v>139</v>
      </c>
      <c r="AB52" s="1"/>
      <c r="AC52" s="1"/>
    </row>
  </sheetData>
  <sortState xmlns:xlrd2="http://schemas.microsoft.com/office/spreadsheetml/2017/richdata2" ref="A2:AL52">
    <sortCondition ref="A2:A5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综排</vt:lpstr>
      <vt:lpstr>矿产</vt:lpstr>
      <vt:lpstr>能源</vt:lpstr>
      <vt:lpstr>农业</vt:lpstr>
      <vt:lpstr>交通</vt:lpstr>
      <vt:lpstr>稳定</vt:lpstr>
      <vt:lpstr>政治排名</vt:lpstr>
      <vt:lpstr>经济排名</vt:lpstr>
      <vt:lpstr>军事排名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2026-08-29T03:21:52Z</dcterms:modified>
</cp:coreProperties>
</file>